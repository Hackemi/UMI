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\Desktop\Kemi\Tareas\Mineria de datos\"/>
    </mc:Choice>
  </mc:AlternateContent>
  <xr:revisionPtr revIDLastSave="0" documentId="8_{844BC1FF-7927-4E73-A25C-8F711F02A08D}" xr6:coauthVersionLast="47" xr6:coauthVersionMax="47" xr10:uidLastSave="{00000000-0000-0000-0000-000000000000}"/>
  <bookViews>
    <workbookView xWindow="-120" yWindow="-120" windowWidth="38640" windowHeight="21120" xr2:uid="{3068A00F-4E97-4503-8B17-03881ACCCAEF}"/>
  </bookViews>
  <sheets>
    <sheet name="HOLAMUNDO_SQLEXPRESS_ datos gen" sheetId="2" r:id="rId1"/>
    <sheet name="Salarios" sheetId="3" r:id="rId2"/>
    <sheet name="Ganancias o ventas" sheetId="5" r:id="rId3"/>
    <sheet name="Genero" sheetId="8" r:id="rId4"/>
  </sheets>
  <definedNames>
    <definedName name="DatosExternos_1" localSheetId="0" hidden="1">'HOLAMUNDO_SQLEXPRESS_ datos gen'!$A$1:$E$4</definedName>
    <definedName name="DatosExternos_2" localSheetId="0" hidden="1">'HOLAMUNDO_SQLEXPRESS_ datos gen'!$A$6:$F$22</definedName>
    <definedName name="DatosExternos_3" localSheetId="0" hidden="1">'HOLAMUNDO_SQLEXPRESS_ datos gen'!$A$24:$G$40</definedName>
    <definedName name="DatosExternos_4" localSheetId="0" hidden="1">'HOLAMUNDO_SQLEXPRESS_ datos gen'!$A$42:$E$52</definedName>
  </definedNames>
  <calcPr calcId="191029"/>
  <pivotCaches>
    <pivotCache cacheId="190" r:id="rId5"/>
    <pivotCache cacheId="204" r:id="rId6"/>
    <pivotCache cacheId="207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osempleado_278e8d3e-3f6a-4b5c-9192-755eaf2b6ad7" name="datosempleado" connection="Consulta - datosempleado"/>
          <x15:modelTable id="datospersonales_7c423816-2c5d-4e6d-8242-1049efe30b15" name="datospersonales" connection="Consulta - datospersonales"/>
          <x15:modelTable id="sucursal_de80dc91-b688-479c-a751-673c87ee9baa" name="sucursal" connection="Consulta - sucursal"/>
        </x15:modelTables>
        <x15:modelRelationships>
          <x15:modelRelationship fromTable="datosempleado" fromColumn="fk_datospersonales" toTable="datospersonales" toColumn="id"/>
          <x15:modelRelationship fromTable="datosempleado" fromColumn="fk_sucursal" toTable="sucursal" toColumn="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29AAD1-14D0-4146-B77B-38043F74B744}" name="Consulta - datosempleado" description="Conexión a la consulta 'datosempleado' en el libro." type="100" refreshedVersion="7" minRefreshableVersion="5">
    <extLst>
      <ext xmlns:x15="http://schemas.microsoft.com/office/spreadsheetml/2010/11/main" uri="{DE250136-89BD-433C-8126-D09CA5730AF9}">
        <x15:connection id="8dde85de-97a7-43cd-a7e7-9f5e0fa68678"/>
      </ext>
    </extLst>
  </connection>
  <connection id="2" xr16:uid="{BD832AAF-CED2-4733-9E2F-99390ACF1944}" name="Consulta - datospersonales" description="Conexión a la consulta 'datospersonales' en el libro." type="100" refreshedVersion="7" minRefreshableVersion="5">
    <extLst>
      <ext xmlns:x15="http://schemas.microsoft.com/office/spreadsheetml/2010/11/main" uri="{DE250136-89BD-433C-8126-D09CA5730AF9}">
        <x15:connection id="b3edad31-e127-43db-91e6-5f6cbfc0b66f"/>
      </ext>
    </extLst>
  </connection>
  <connection id="3" xr16:uid="{53C7A807-C3AE-4137-A27A-6E9894E685B8}" keepAlive="1" name="Consulta - HOLAMUNDO\SQLEXPRESS: datos generales" description="Conexión a la consulta 'HOLAMUNDO\SQLEXPRESS: datos generales' en el libro." type="5" refreshedVersion="7" background="1" saveData="1">
    <dbPr connection="Provider=Microsoft.Mashup.OleDb.1;Data Source=$Workbook$;Location=&quot;HOLAMUNDO\SQLEXPRESS: datos generales&quot;;Extended Properties=&quot;&quot;" command="SELECT * FROM [HOLAMUNDO\SQLEXPRESS: datos generales]"/>
  </connection>
  <connection id="4" xr16:uid="{679AC7CC-0A63-4DED-8B6D-061B51CCAFAB}" name="Consulta - sucursal" description="Conexión a la consulta 'sucursal' en el libro." type="100" refreshedVersion="7" minRefreshableVersion="5">
    <extLst>
      <ext xmlns:x15="http://schemas.microsoft.com/office/spreadsheetml/2010/11/main" uri="{DE250136-89BD-433C-8126-D09CA5730AF9}">
        <x15:connection id="08b5b88b-511a-4e34-8644-cf97b3f9015b"/>
      </ext>
    </extLst>
  </connection>
  <connection id="5" xr16:uid="{EA301A1C-62A8-445C-9099-ED42DD3A0705}" keepAlive="1" name="ModelConnection_DatosExternos_2" description="Modelo de datos" type="5" refreshedVersion="7" minRefreshableVersion="5" saveData="1">
    <dbPr connection="Data Model Connection" command="datosempleado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DC7A49AC-869C-4B87-BDBC-5BB04FA98AFD}" keepAlive="1" name="ModelConnection_DatosExternos_3" description="Modelo de datos" type="5" refreshedVersion="7" minRefreshableVersion="5" saveData="1">
    <dbPr connection="Data Model Connection" command="datospersonales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C9874E1D-B648-4635-B872-38D628190B2B}" keepAlive="1" name="ModelConnection_DatosExternos_4" description="Modelo de datos" type="5" refreshedVersion="7" minRefreshableVersion="5" saveData="1">
    <dbPr connection="Data Model Connection" command="sucursal" commandType="3"/>
    <extLst>
      <ext xmlns:x15="http://schemas.microsoft.com/office/spreadsheetml/2010/11/main" uri="{DE250136-89BD-433C-8126-D09CA5730AF9}">
        <x15:connection id="" model="1"/>
      </ext>
    </extLst>
  </connection>
  <connection id="8" xr16:uid="{89DF8FF9-D790-471B-B1B5-08D5FCEB1583}" keepAlive="1" name="ThisWorkbookDataModel" description="Modelo de dat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<sst xmlns="http://schemas.openxmlformats.org/spreadsheetml/2006/main" count="234" uniqueCount="150">
  <si>
    <t>Name</t>
  </si>
  <si>
    <t>Data</t>
  </si>
  <si>
    <t>Schema</t>
  </si>
  <si>
    <t>Item</t>
  </si>
  <si>
    <t>Kind</t>
  </si>
  <si>
    <t>datosempleado</t>
  </si>
  <si>
    <t>[Table]</t>
  </si>
  <si>
    <t>dbo</t>
  </si>
  <si>
    <t>Table</t>
  </si>
  <si>
    <t>datospersonales</t>
  </si>
  <si>
    <t>sucursal</t>
  </si>
  <si>
    <t>Etiquetas de fila</t>
  </si>
  <si>
    <t>Lun-Dom turnos rotativos</t>
  </si>
  <si>
    <t>Lun-Sab 10:00-20:00</t>
  </si>
  <si>
    <t>Lun-Sáb 10:00-20:00</t>
  </si>
  <si>
    <t>Lun-Sab 8:00-17:00</t>
  </si>
  <si>
    <t>Lun-Sáb 8:00-17:00</t>
  </si>
  <si>
    <t>Lun-Vie 14:00-22:00 + Sab medio dia</t>
  </si>
  <si>
    <t>Lun-Vie 7:00-16:00</t>
  </si>
  <si>
    <t>Lun-Vie 8:00-17:00 + Sab 9:00-14:00</t>
  </si>
  <si>
    <t>Lun-Vie 8:00-18:00 + Sab medio dia</t>
  </si>
  <si>
    <t>Lun-Vie 8:30-17:30</t>
  </si>
  <si>
    <t>Lun-Vie 9:00-18:00</t>
  </si>
  <si>
    <t>Turnos rotativos 6 dias</t>
  </si>
  <si>
    <t>Total general</t>
  </si>
  <si>
    <t>Cajero</t>
  </si>
  <si>
    <t>Vendedor piso</t>
  </si>
  <si>
    <t>Auxiliar de Almacen</t>
  </si>
  <si>
    <t>Auxiliar de Almacén</t>
  </si>
  <si>
    <t>Supervisor de Turno</t>
  </si>
  <si>
    <t>Encargada de Inventarios</t>
  </si>
  <si>
    <t>Encargada de pis</t>
  </si>
  <si>
    <t>Gerente General</t>
  </si>
  <si>
    <t>Jefe de Sucursal</t>
  </si>
  <si>
    <t>Recepcionista / Atención</t>
  </si>
  <si>
    <t>Jefa de Ventas</t>
  </si>
  <si>
    <t>Cajera</t>
  </si>
  <si>
    <t>codigo</t>
  </si>
  <si>
    <t>fk_datospersonales</t>
  </si>
  <si>
    <t>fk_sucursal</t>
  </si>
  <si>
    <t>cargo</t>
  </si>
  <si>
    <t>horario</t>
  </si>
  <si>
    <t>salario</t>
  </si>
  <si>
    <t>id</t>
  </si>
  <si>
    <t>nombre</t>
  </si>
  <si>
    <t>direccion</t>
  </si>
  <si>
    <t>ciudad</t>
  </si>
  <si>
    <t>num_telefono</t>
  </si>
  <si>
    <t>email</t>
  </si>
  <si>
    <t>genero</t>
  </si>
  <si>
    <t>Ana Maria Lopez Garcia</t>
  </si>
  <si>
    <t>Av. Obregon 245, Col. Centro</t>
  </si>
  <si>
    <t>Nogales</t>
  </si>
  <si>
    <t>6311234567</t>
  </si>
  <si>
    <t>ana.lopez@gmail.com</t>
  </si>
  <si>
    <t>F</t>
  </si>
  <si>
    <t>Carlos Eduardo Ramirez Soto</t>
  </si>
  <si>
    <t>Calle Reforma 112, Fracc. Fundo Legal</t>
  </si>
  <si>
    <t>6312345678</t>
  </si>
  <si>
    <t>carlos.ramirez@gmail.com</t>
  </si>
  <si>
    <t>M</t>
  </si>
  <si>
    <t>Sofia Isabel Torres Vega</t>
  </si>
  <si>
    <t>Blvd. Luis Donaldo Colosio 567</t>
  </si>
  <si>
    <t>6313456789</t>
  </si>
  <si>
    <t>sofia.torres@gmail.com</t>
  </si>
  <si>
    <t>Juan Pablo Hernández Ruiz</t>
  </si>
  <si>
    <t>Calle 5 de Mayo 89, Col. Fundo</t>
  </si>
  <si>
    <t>6314567890</t>
  </si>
  <si>
    <t>juanp.hernandez@gmail.com</t>
  </si>
  <si>
    <t>Maria Fernanda Diaz Castro</t>
  </si>
  <si>
    <t>Av. Tecnologico 320 Norte</t>
  </si>
  <si>
    <t>6315678901</t>
  </si>
  <si>
    <t>mfer.diaz@gmail.com</t>
  </si>
  <si>
    <t>Luis Fernando Gomez Ortiz</t>
  </si>
  <si>
    <t>Calle Hidalgo 456, Col. El Bellavista</t>
  </si>
  <si>
    <t>6316789012</t>
  </si>
  <si>
    <t>luis.gomez@gmail.com</t>
  </si>
  <si>
    <t>Valeria Camila Mendoza</t>
  </si>
  <si>
    <t>Privada Las Palmas 78</t>
  </si>
  <si>
    <t>Santa Ana</t>
  </si>
  <si>
    <t>6457890123</t>
  </si>
  <si>
    <t>vale.mendoza@gmail.com</t>
  </si>
  <si>
    <t>Diego Armando Vargas Lopez</t>
  </si>
  <si>
    <t>Calle Sonora 201, Col. Centro</t>
  </si>
  <si>
    <t>6318901234</t>
  </si>
  <si>
    <t>diego.vargas@gmail.com</t>
  </si>
  <si>
    <t>Gabriela Ruiz Fernandez</t>
  </si>
  <si>
    <t>Av. Mexico 1345</t>
  </si>
  <si>
    <t>Imuris</t>
  </si>
  <si>
    <t>6319012345</t>
  </si>
  <si>
    <t>gabi.ruiz@gmail.com</t>
  </si>
  <si>
    <t>Alejandro Morales Castro</t>
  </si>
  <si>
    <t>Calle Juarez 67, Fracc. Prados</t>
  </si>
  <si>
    <t>6310123456</t>
  </si>
  <si>
    <t>alex.morales@gmail.com</t>
  </si>
  <si>
    <t>Jesus Antonio Valenzuela Lopez</t>
  </si>
  <si>
    <t>Calle Constitución 412, Col. Los Arcos</t>
  </si>
  <si>
    <t>631-777-8899</t>
  </si>
  <si>
    <t>jesus.valenzuela@gmail.com</t>
  </si>
  <si>
    <t>Claudia Ivette Moreno Ramirez</t>
  </si>
  <si>
    <t>Av. Tecnologico 678 Sur, Fracc. El Ranchito</t>
  </si>
  <si>
    <t>631-888-9900</t>
  </si>
  <si>
    <t>claudia.moreno@outlook.com</t>
  </si>
  <si>
    <t>Ricardo Emilio Salazar Duarte</t>
  </si>
  <si>
    <t>Calle Morelos 189, Col. Centro</t>
  </si>
  <si>
    <t>645-999-0011</t>
  </si>
  <si>
    <t>ricardo.salazar@yahoo.com.mx</t>
  </si>
  <si>
    <t>Natalia Sofía Quintero Vargas</t>
  </si>
  <si>
    <t>Privada Las Flores 45, Col. Bella Vista</t>
  </si>
  <si>
    <t>631-111-2233</t>
  </si>
  <si>
    <t>natalia.quintero@hotmail.com</t>
  </si>
  <si>
    <t>Marco Antonio Reyes Pacheco</t>
  </si>
  <si>
    <t>Blvd. Luis Donaldo Colosio 1450</t>
  </si>
  <si>
    <t>631-222-3344</t>
  </si>
  <si>
    <t>marco.reyes@live.com.mx</t>
  </si>
  <si>
    <t>Verónica Guadalupe Ortiz Mendoza</t>
  </si>
  <si>
    <t>Calle Hidalgo 321, Fracc. Prados del Norte</t>
  </si>
  <si>
    <t>631-333-4455</t>
  </si>
  <si>
    <t>veronica.ortiz@proton.me</t>
  </si>
  <si>
    <t>nombre_sucursal</t>
  </si>
  <si>
    <t>cantidad_ventas_anuales</t>
  </si>
  <si>
    <t>Tienda Nogales Centro</t>
  </si>
  <si>
    <t>Av. Obregon 301, Col. Centro</t>
  </si>
  <si>
    <t>Sucursal Mariposa</t>
  </si>
  <si>
    <t>Blvd. Luis Donaldo Colosio 890</t>
  </si>
  <si>
    <t>Tienda Fundo Legal</t>
  </si>
  <si>
    <t>Calle 5 de Mayo 456</t>
  </si>
  <si>
    <t>Sucursal Imuris</t>
  </si>
  <si>
    <t>Carretera Internacional Km 12</t>
  </si>
  <si>
    <t>Tienda Santa Ana</t>
  </si>
  <si>
    <t>Av. 16 de Septiembre 123</t>
  </si>
  <si>
    <t>Sucursal Heroica Nogales</t>
  </si>
  <si>
    <t>Av. Tecnologico 450 Sur</t>
  </si>
  <si>
    <t>Tienda Las Quintas</t>
  </si>
  <si>
    <t>Privada Las Quintas 89</t>
  </si>
  <si>
    <t>Sucursal El Cerro</t>
  </si>
  <si>
    <t>Calle del Cerro 210, Col. Bella Vista</t>
  </si>
  <si>
    <t>Tienda Caborca Norte</t>
  </si>
  <si>
    <t>Caborca</t>
  </si>
  <si>
    <t>Blvd. Luis Encinas 567</t>
  </si>
  <si>
    <t>Sucursal Magdalena</t>
  </si>
  <si>
    <t>Magdalena de Kino</t>
  </si>
  <si>
    <t>Av. Madero 345</t>
  </si>
  <si>
    <t>Máx. de salario</t>
  </si>
  <si>
    <t>Suma de id</t>
  </si>
  <si>
    <t>Suma de cantidad_ventas_anuales</t>
  </si>
  <si>
    <t>Cuenta de genero</t>
  </si>
  <si>
    <t>Máx. de fk_datospersonales</t>
  </si>
  <si>
    <t>Máx. de fk_sucursal</t>
  </si>
  <si>
    <t>Máx. de 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</si>
</sst>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Fon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[EdgarCuamea_A1.xlsx]Salarios!TablaDinámica5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0629101619063748E-2"/>
          <c:y val="0.17131488772236803"/>
          <c:w val="0.64603048472151992"/>
          <c:h val="0.499731304773343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Salarios!$B$3</c:f>
              <c:strCache>
                <c:ptCount val="1"/>
                <c:pt idx="0">
                  <c:v>Máx. de salario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Salarios!$A$4:$A$16</c:f>
              <c:strCache>
                <c:ptCount val="12"/>
                <c:pt idx="0">
                  <c:v>Gerente General</c:v>
                </c:pt>
                <c:pt idx="1">
                  <c:v>Jefe de Sucursal</c:v>
                </c:pt>
                <c:pt idx="2">
                  <c:v>Jefa de Ventas</c:v>
                </c:pt>
                <c:pt idx="3">
                  <c:v>Supervisor de Turno</c:v>
                </c:pt>
                <c:pt idx="4">
                  <c:v>Encargada de Inventarios</c:v>
                </c:pt>
                <c:pt idx="5">
                  <c:v>Encargada de pis</c:v>
                </c:pt>
                <c:pt idx="6">
                  <c:v>Recepcionista / Atención</c:v>
                </c:pt>
                <c:pt idx="7">
                  <c:v>Vendedor piso</c:v>
                </c:pt>
                <c:pt idx="8">
                  <c:v>Cajera</c:v>
                </c:pt>
                <c:pt idx="9">
                  <c:v>Cajero</c:v>
                </c:pt>
                <c:pt idx="10">
                  <c:v>Auxiliar de Almacen</c:v>
                </c:pt>
                <c:pt idx="11">
                  <c:v>Auxiliar de Almacén</c:v>
                </c:pt>
              </c:strCache>
            </c:strRef>
          </c:cat>
          <c:val>
            <c:numRef>
              <c:f>Salarios!$B$4:$B$16</c:f>
              <c:numCache>
                <c:formatCode>General</c:formatCode>
                <c:ptCount val="12"/>
                <c:pt idx="0">
                  <c:v>48000</c:v>
                </c:pt>
                <c:pt idx="1">
                  <c:v>32000</c:v>
                </c:pt>
                <c:pt idx="2">
                  <c:v>28500</c:v>
                </c:pt>
                <c:pt idx="3">
                  <c:v>19500</c:v>
                </c:pt>
                <c:pt idx="4">
                  <c:v>16800</c:v>
                </c:pt>
                <c:pt idx="5">
                  <c:v>16800</c:v>
                </c:pt>
                <c:pt idx="6">
                  <c:v>12400</c:v>
                </c:pt>
                <c:pt idx="7">
                  <c:v>11200</c:v>
                </c:pt>
                <c:pt idx="8">
                  <c:v>9900</c:v>
                </c:pt>
                <c:pt idx="9">
                  <c:v>9800</c:v>
                </c:pt>
                <c:pt idx="10">
                  <c:v>9500</c:v>
                </c:pt>
                <c:pt idx="11">
                  <c:v>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11-47C3-B045-E8002EDEC890}"/>
            </c:ext>
          </c:extLst>
        </c:ser>
        <c:ser>
          <c:idx val="1"/>
          <c:order val="1"/>
          <c:tx>
            <c:strRef>
              <c:f>Salarios!$C$3</c:f>
              <c:strCache>
                <c:ptCount val="1"/>
                <c:pt idx="0">
                  <c:v>Máx. de fk_sucursal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Salarios!$A$4:$A$16</c:f>
              <c:strCache>
                <c:ptCount val="12"/>
                <c:pt idx="0">
                  <c:v>Gerente General</c:v>
                </c:pt>
                <c:pt idx="1">
                  <c:v>Jefe de Sucursal</c:v>
                </c:pt>
                <c:pt idx="2">
                  <c:v>Jefa de Ventas</c:v>
                </c:pt>
                <c:pt idx="3">
                  <c:v>Supervisor de Turno</c:v>
                </c:pt>
                <c:pt idx="4">
                  <c:v>Encargada de Inventarios</c:v>
                </c:pt>
                <c:pt idx="5">
                  <c:v>Encargada de pis</c:v>
                </c:pt>
                <c:pt idx="6">
                  <c:v>Recepcionista / Atención</c:v>
                </c:pt>
                <c:pt idx="7">
                  <c:v>Vendedor piso</c:v>
                </c:pt>
                <c:pt idx="8">
                  <c:v>Cajera</c:v>
                </c:pt>
                <c:pt idx="9">
                  <c:v>Cajero</c:v>
                </c:pt>
                <c:pt idx="10">
                  <c:v>Auxiliar de Almacen</c:v>
                </c:pt>
                <c:pt idx="11">
                  <c:v>Auxiliar de Almacén</c:v>
                </c:pt>
              </c:strCache>
            </c:strRef>
          </c:cat>
          <c:val>
            <c:numRef>
              <c:f>Salarios!$C$4:$C$16</c:f>
              <c:numCache>
                <c:formatCode>General</c:formatCode>
                <c:ptCount val="12"/>
                <c:pt idx="0">
                  <c:v>8</c:v>
                </c:pt>
                <c:pt idx="1">
                  <c:v>6</c:v>
                </c:pt>
                <c:pt idx="2">
                  <c:v>9</c:v>
                </c:pt>
                <c:pt idx="3">
                  <c:v>8</c:v>
                </c:pt>
                <c:pt idx="4">
                  <c:v>2</c:v>
                </c:pt>
                <c:pt idx="5">
                  <c:v>10</c:v>
                </c:pt>
                <c:pt idx="6">
                  <c:v>7</c:v>
                </c:pt>
                <c:pt idx="7">
                  <c:v>9</c:v>
                </c:pt>
                <c:pt idx="8">
                  <c:v>5</c:v>
                </c:pt>
                <c:pt idx="9">
                  <c:v>8</c:v>
                </c:pt>
                <c:pt idx="10">
                  <c:v>10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11-47C3-B045-E8002EDEC890}"/>
            </c:ext>
          </c:extLst>
        </c:ser>
        <c:ser>
          <c:idx val="2"/>
          <c:order val="2"/>
          <c:tx>
            <c:strRef>
              <c:f>Salarios!$D$3</c:f>
              <c:strCache>
                <c:ptCount val="1"/>
                <c:pt idx="0">
                  <c:v>Máx. de fk_datospersonales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Salarios!$A$4:$A$16</c:f>
              <c:strCache>
                <c:ptCount val="12"/>
                <c:pt idx="0">
                  <c:v>Gerente General</c:v>
                </c:pt>
                <c:pt idx="1">
                  <c:v>Jefe de Sucursal</c:v>
                </c:pt>
                <c:pt idx="2">
                  <c:v>Jefa de Ventas</c:v>
                </c:pt>
                <c:pt idx="3">
                  <c:v>Supervisor de Turno</c:v>
                </c:pt>
                <c:pt idx="4">
                  <c:v>Encargada de Inventarios</c:v>
                </c:pt>
                <c:pt idx="5">
                  <c:v>Encargada de pis</c:v>
                </c:pt>
                <c:pt idx="6">
                  <c:v>Recepcionista / Atención</c:v>
                </c:pt>
                <c:pt idx="7">
                  <c:v>Vendedor piso</c:v>
                </c:pt>
                <c:pt idx="8">
                  <c:v>Cajera</c:v>
                </c:pt>
                <c:pt idx="9">
                  <c:v>Cajero</c:v>
                </c:pt>
                <c:pt idx="10">
                  <c:v>Auxiliar de Almacen</c:v>
                </c:pt>
                <c:pt idx="11">
                  <c:v>Auxiliar de Almacén</c:v>
                </c:pt>
              </c:strCache>
            </c:strRef>
          </c:cat>
          <c:val>
            <c:numRef>
              <c:f>Salarios!$D$4:$D$16</c:f>
              <c:numCache>
                <c:formatCode>General</c:formatCode>
                <c:ptCount val="12"/>
                <c:pt idx="0">
                  <c:v>1013</c:v>
                </c:pt>
                <c:pt idx="1">
                  <c:v>10</c:v>
                </c:pt>
                <c:pt idx="2">
                  <c:v>1009</c:v>
                </c:pt>
                <c:pt idx="3">
                  <c:v>8</c:v>
                </c:pt>
                <c:pt idx="4">
                  <c:v>5</c:v>
                </c:pt>
                <c:pt idx="5">
                  <c:v>1011</c:v>
                </c:pt>
                <c:pt idx="6">
                  <c:v>9</c:v>
                </c:pt>
                <c:pt idx="7">
                  <c:v>1010</c:v>
                </c:pt>
                <c:pt idx="8">
                  <c:v>7</c:v>
                </c:pt>
                <c:pt idx="9">
                  <c:v>1008</c:v>
                </c:pt>
                <c:pt idx="10">
                  <c:v>1012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11-47C3-B045-E8002EDEC890}"/>
            </c:ext>
          </c:extLst>
        </c:ser>
        <c:ser>
          <c:idx val="3"/>
          <c:order val="3"/>
          <c:tx>
            <c:strRef>
              <c:f>Salarios!$E$3</c:f>
              <c:strCache>
                <c:ptCount val="1"/>
                <c:pt idx="0">
                  <c:v>Máx. de codigo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Salarios!$A$4:$A$16</c:f>
              <c:strCache>
                <c:ptCount val="12"/>
                <c:pt idx="0">
                  <c:v>Gerente General</c:v>
                </c:pt>
                <c:pt idx="1">
                  <c:v>Jefe de Sucursal</c:v>
                </c:pt>
                <c:pt idx="2">
                  <c:v>Jefa de Ventas</c:v>
                </c:pt>
                <c:pt idx="3">
                  <c:v>Supervisor de Turno</c:v>
                </c:pt>
                <c:pt idx="4">
                  <c:v>Encargada de Inventarios</c:v>
                </c:pt>
                <c:pt idx="5">
                  <c:v>Encargada de pis</c:v>
                </c:pt>
                <c:pt idx="6">
                  <c:v>Recepcionista / Atención</c:v>
                </c:pt>
                <c:pt idx="7">
                  <c:v>Vendedor piso</c:v>
                </c:pt>
                <c:pt idx="8">
                  <c:v>Cajera</c:v>
                </c:pt>
                <c:pt idx="9">
                  <c:v>Cajero</c:v>
                </c:pt>
                <c:pt idx="10">
                  <c:v>Auxiliar de Almacen</c:v>
                </c:pt>
                <c:pt idx="11">
                  <c:v>Auxiliar de Almacén</c:v>
                </c:pt>
              </c:strCache>
            </c:strRef>
          </c:cat>
          <c:val>
            <c:numRef>
              <c:f>Salarios!$E$4:$E$16</c:f>
              <c:numCache>
                <c:formatCode>General</c:formatCode>
                <c:ptCount val="12"/>
                <c:pt idx="0">
                  <c:v>1005</c:v>
                </c:pt>
                <c:pt idx="1">
                  <c:v>10</c:v>
                </c:pt>
                <c:pt idx="2">
                  <c:v>1007</c:v>
                </c:pt>
                <c:pt idx="3">
                  <c:v>8</c:v>
                </c:pt>
                <c:pt idx="4">
                  <c:v>5</c:v>
                </c:pt>
                <c:pt idx="5">
                  <c:v>1009</c:v>
                </c:pt>
                <c:pt idx="6">
                  <c:v>9</c:v>
                </c:pt>
                <c:pt idx="7">
                  <c:v>1008</c:v>
                </c:pt>
                <c:pt idx="8">
                  <c:v>7</c:v>
                </c:pt>
                <c:pt idx="9">
                  <c:v>1006</c:v>
                </c:pt>
                <c:pt idx="10">
                  <c:v>1010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11-47C3-B045-E8002EDEC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7513920"/>
        <c:axId val="527514336"/>
      </c:barChart>
      <c:catAx>
        <c:axId val="52751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27514336"/>
        <c:crosses val="autoZero"/>
        <c:auto val="1"/>
        <c:lblAlgn val="ctr"/>
        <c:lblOffset val="100"/>
        <c:noMultiLvlLbl val="0"/>
      </c:catAx>
      <c:valAx>
        <c:axId val="52751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27513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[EdgarCuamea_A1.xlsx]Ganancias o ventas!TablaDinámica6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838626890062569"/>
          <c:y val="0.16569701122412148"/>
          <c:w val="0.86813833102695304"/>
          <c:h val="0.636064736757396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'Ganancias o ventas'!$B$3</c:f>
              <c:strCache>
                <c:ptCount val="1"/>
                <c:pt idx="0">
                  <c:v>Suma de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'Ganancias o ventas'!$A$4:$A$14</c:f>
              <c:strCache>
                <c:ptCount val="10"/>
                <c:pt idx="0">
                  <c:v>Sucursal Heroica Nogales</c:v>
                </c:pt>
                <c:pt idx="1">
                  <c:v>Sucursal Mariposa</c:v>
                </c:pt>
                <c:pt idx="2">
                  <c:v>Sucursal El Cerro</c:v>
                </c:pt>
                <c:pt idx="3">
                  <c:v>Tienda Nogales Centro</c:v>
                </c:pt>
                <c:pt idx="4">
                  <c:v>Sucursal Magdalena</c:v>
                </c:pt>
                <c:pt idx="5">
                  <c:v>Tienda Santa Ana</c:v>
                </c:pt>
                <c:pt idx="6">
                  <c:v>Tienda Fundo Legal</c:v>
                </c:pt>
                <c:pt idx="7">
                  <c:v>Tienda Las Quintas</c:v>
                </c:pt>
                <c:pt idx="8">
                  <c:v>Tienda Caborca Norte</c:v>
                </c:pt>
                <c:pt idx="9">
                  <c:v>Sucursal Imuris</c:v>
                </c:pt>
              </c:strCache>
            </c:strRef>
          </c:cat>
          <c:val>
            <c:numRef>
              <c:f>'Ganancias o ventas'!$B$4:$B$14</c:f>
              <c:numCache>
                <c:formatCode>General</c:formatCode>
                <c:ptCount val="10"/>
                <c:pt idx="0">
                  <c:v>6</c:v>
                </c:pt>
                <c:pt idx="1">
                  <c:v>2</c:v>
                </c:pt>
                <c:pt idx="2">
                  <c:v>8</c:v>
                </c:pt>
                <c:pt idx="3">
                  <c:v>1</c:v>
                </c:pt>
                <c:pt idx="4">
                  <c:v>10</c:v>
                </c:pt>
                <c:pt idx="5">
                  <c:v>5</c:v>
                </c:pt>
                <c:pt idx="6">
                  <c:v>3</c:v>
                </c:pt>
                <c:pt idx="7">
                  <c:v>7</c:v>
                </c:pt>
                <c:pt idx="8">
                  <c:v>9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44-42D1-A7B7-5401F4B453D6}"/>
            </c:ext>
          </c:extLst>
        </c:ser>
        <c:ser>
          <c:idx val="1"/>
          <c:order val="1"/>
          <c:tx>
            <c:strRef>
              <c:f>'Ganancias o ventas'!$C$3</c:f>
              <c:strCache>
                <c:ptCount val="1"/>
                <c:pt idx="0">
                  <c:v>Suma de cantidad_ventas_anuales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'Ganancias o ventas'!$A$4:$A$14</c:f>
              <c:strCache>
                <c:ptCount val="10"/>
                <c:pt idx="0">
                  <c:v>Sucursal Heroica Nogales</c:v>
                </c:pt>
                <c:pt idx="1">
                  <c:v>Sucursal Mariposa</c:v>
                </c:pt>
                <c:pt idx="2">
                  <c:v>Sucursal El Cerro</c:v>
                </c:pt>
                <c:pt idx="3">
                  <c:v>Tienda Nogales Centro</c:v>
                </c:pt>
                <c:pt idx="4">
                  <c:v>Sucursal Magdalena</c:v>
                </c:pt>
                <c:pt idx="5">
                  <c:v>Tienda Santa Ana</c:v>
                </c:pt>
                <c:pt idx="6">
                  <c:v>Tienda Fundo Legal</c:v>
                </c:pt>
                <c:pt idx="7">
                  <c:v>Tienda Las Quintas</c:v>
                </c:pt>
                <c:pt idx="8">
                  <c:v>Tienda Caborca Norte</c:v>
                </c:pt>
                <c:pt idx="9">
                  <c:v>Sucursal Imuris</c:v>
                </c:pt>
              </c:strCache>
            </c:strRef>
          </c:cat>
          <c:val>
            <c:numRef>
              <c:f>'Ganancias o ventas'!$C$4:$C$14</c:f>
              <c:numCache>
                <c:formatCode>General</c:formatCode>
                <c:ptCount val="10"/>
                <c:pt idx="0">
                  <c:v>4567890.0999999996</c:v>
                </c:pt>
                <c:pt idx="1">
                  <c:v>3189456.75</c:v>
                </c:pt>
                <c:pt idx="2">
                  <c:v>2987654.3</c:v>
                </c:pt>
                <c:pt idx="3">
                  <c:v>2456789.5</c:v>
                </c:pt>
                <c:pt idx="4">
                  <c:v>2234567</c:v>
                </c:pt>
                <c:pt idx="5">
                  <c:v>2098765.4</c:v>
                </c:pt>
                <c:pt idx="6">
                  <c:v>1876543.2</c:v>
                </c:pt>
                <c:pt idx="7">
                  <c:v>1765432.8</c:v>
                </c:pt>
                <c:pt idx="8">
                  <c:v>1654321.6</c:v>
                </c:pt>
                <c:pt idx="9">
                  <c:v>1345678.9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44-42D1-A7B7-5401F4B45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2007871"/>
        <c:axId val="302009951"/>
      </c:barChart>
      <c:catAx>
        <c:axId val="30200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02009951"/>
        <c:crosses val="autoZero"/>
        <c:auto val="1"/>
        <c:lblAlgn val="ctr"/>
        <c:lblOffset val="100"/>
        <c:noMultiLvlLbl val="0"/>
      </c:catAx>
      <c:valAx>
        <c:axId val="30200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02007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994509491826529"/>
          <c:y val="3.1799172210833296E-2"/>
          <c:w val="0.25728663003572794"/>
          <c:h val="0.119763743415614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[EdgarCuamea_A1.xlsx]Genero!TablaDinámica9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Genero!$B$3</c:f>
              <c:strCache>
                <c:ptCount val="1"/>
                <c:pt idx="0">
                  <c:v>Cuenta de genero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90-4DF3-A21C-EC1C03D687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Genero!$A$4:$A$6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Genero!$B$4:$B$6</c:f>
              <c:numCache>
                <c:formatCode>General</c:formatCode>
                <c:ptCount val="2"/>
                <c:pt idx="0">
                  <c:v>8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90-4DF3-A21C-EC1C03D687C8}"/>
            </c:ext>
          </c:extLst>
        </c:ser>
        <c:ser>
          <c:idx val="1"/>
          <c:order val="1"/>
          <c:tx>
            <c:strRef>
              <c:f>Genero!$C$3</c:f>
              <c:strCache>
                <c:ptCount val="1"/>
                <c:pt idx="0">
                  <c:v>Suma de 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Genero!$A$4:$A$6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Genero!$C$4:$C$6</c:f>
              <c:numCache>
                <c:formatCode>General</c:formatCode>
                <c:ptCount val="2"/>
                <c:pt idx="0">
                  <c:v>3058</c:v>
                </c:pt>
                <c:pt idx="1">
                  <c:v>3060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90-4DF3-A21C-EC1C03D68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57150</xdr:rowOff>
    </xdr:from>
    <xdr:to>
      <xdr:col>5</xdr:col>
      <xdr:colOff>698500</xdr:colOff>
      <xdr:row>34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1FAA6D0-3520-4E1B-BE0C-6895E9F05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14</xdr:row>
      <xdr:rowOff>33337</xdr:rowOff>
    </xdr:from>
    <xdr:to>
      <xdr:col>6</xdr:col>
      <xdr:colOff>447675</xdr:colOff>
      <xdr:row>41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DD2B384-EEA6-4F2C-9509-7BEC631637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7</xdr:row>
      <xdr:rowOff>100011</xdr:rowOff>
    </xdr:from>
    <xdr:to>
      <xdr:col>7</xdr:col>
      <xdr:colOff>447674</xdr:colOff>
      <xdr:row>35</xdr:row>
      <xdr:rowOff>57150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27BEBA7-F401-48FC-A0D3-836A12AA24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gar 69" refreshedDate="46053.991986458335" createdVersion="7" refreshedVersion="7" minRefreshableVersion="3" recordCount="10" xr:uid="{D545C834-745C-4E88-A563-1247CCB2AE3E}">
  <cacheSource type="worksheet">
    <worksheetSource name="sucursal"/>
  </cacheSource>
  <cacheFields count="5">
    <cacheField name="id" numFmtId="0">
      <sharedItems containsSemiMixedTypes="0" containsString="0" containsNumber="1" containsInteger="1" minValue="1" maxValue="10"/>
    </cacheField>
    <cacheField name="nombre_sucursal" numFmtId="0">
      <sharedItems count="10">
        <s v="Tienda Nogales Centro"/>
        <s v="Sucursal Mariposa"/>
        <s v="Tienda Fundo Legal"/>
        <s v="Sucursal Imuris"/>
        <s v="Tienda Santa Ana"/>
        <s v="Sucursal Heroica Nogales"/>
        <s v="Tienda Las Quintas"/>
        <s v="Sucursal El Cerro"/>
        <s v="Tienda Caborca Norte"/>
        <s v="Sucursal Magdalena"/>
      </sharedItems>
    </cacheField>
    <cacheField name="ciudad" numFmtId="0">
      <sharedItems count="5">
        <s v="Nogales"/>
        <s v="Imuris"/>
        <s v="Santa Ana"/>
        <s v="Caborca"/>
        <s v="Magdalena de Kino"/>
      </sharedItems>
    </cacheField>
    <cacheField name="direccion" numFmtId="0">
      <sharedItems/>
    </cacheField>
    <cacheField name="cantidad_ventas_anuales" numFmtId="0">
      <sharedItems containsSemiMixedTypes="0" containsString="0" containsNumber="1" minValue="1345678.9" maxValue="4567890.0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gar 69" refreshedDate="46054.002137847223" createdVersion="7" refreshedVersion="7" minRefreshableVersion="3" recordCount="16" xr:uid="{FBB0971D-F20E-42AA-9713-FC88422D292C}">
  <cacheSource type="worksheet">
    <worksheetSource name="datospersonales"/>
  </cacheSource>
  <cacheFields count="7">
    <cacheField name="id" numFmtId="0">
      <sharedItems containsSemiMixedTypes="0" containsString="0" containsNumber="1" containsInteger="1" minValue="1" maxValue="1013"/>
    </cacheField>
    <cacheField name="nombre" numFmtId="0">
      <sharedItems count="16">
        <s v="Ana Maria Lopez Garcia"/>
        <s v="Carlos Eduardo Ramirez Soto"/>
        <s v="Sofia Isabel Torres Vega"/>
        <s v="Juan Pablo Hernández Ruiz"/>
        <s v="Maria Fernanda Diaz Castro"/>
        <s v="Luis Fernando Gomez Ortiz"/>
        <s v="Valeria Camila Mendoza"/>
        <s v="Diego Armando Vargas Lopez"/>
        <s v="Gabriela Ruiz Fernandez"/>
        <s v="Alejandro Morales Castro"/>
        <s v="Jesus Antonio Valenzuela Lopez"/>
        <s v="Claudia Ivette Moreno Ramirez"/>
        <s v="Ricardo Emilio Salazar Duarte"/>
        <s v="Natalia Sofía Quintero Vargas"/>
        <s v="Marco Antonio Reyes Pacheco"/>
        <s v="Verónica Guadalupe Ortiz Mendoza"/>
      </sharedItems>
    </cacheField>
    <cacheField name="direccion" numFmtId="0">
      <sharedItems/>
    </cacheField>
    <cacheField name="ciudad" numFmtId="0">
      <sharedItems/>
    </cacheField>
    <cacheField name="num_telefono" numFmtId="0">
      <sharedItems/>
    </cacheField>
    <cacheField name="email" numFmtId="0">
      <sharedItems/>
    </cacheField>
    <cacheField name="genero" numFmtId="0">
      <sharedItems count="2">
        <s v="F"/>
        <s v="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gar 69" refreshedDate="46054.015245717594" createdVersion="7" refreshedVersion="7" minRefreshableVersion="3" recordCount="16" xr:uid="{775A1946-11E9-444A-877D-693514FC0176}">
  <cacheSource type="worksheet">
    <worksheetSource name="datosempleado"/>
  </cacheSource>
  <cacheFields count="6">
    <cacheField name="codigo" numFmtId="0">
      <sharedItems containsSemiMixedTypes="0" containsString="0" containsNumber="1" containsInteger="1" minValue="1" maxValue="1010"/>
    </cacheField>
    <cacheField name="fk_datospersonales" numFmtId="0">
      <sharedItems containsSemiMixedTypes="0" containsString="0" containsNumber="1" containsInteger="1" minValue="1" maxValue="1013"/>
    </cacheField>
    <cacheField name="fk_sucursal" numFmtId="0">
      <sharedItems containsSemiMixedTypes="0" containsString="0" containsNumber="1" containsInteger="1" minValue="1" maxValue="10"/>
    </cacheField>
    <cacheField name="cargo" numFmtId="0">
      <sharedItems count="12">
        <s v="Gerente General"/>
        <s v="Jefe de Sucursal"/>
        <s v="Jefa de Ventas"/>
        <s v="Supervisor de Turno"/>
        <s v="Encargada de Inventarios"/>
        <s v="Encargada de pis"/>
        <s v="Recepcionista / Atención"/>
        <s v="Vendedor piso"/>
        <s v="Cajera"/>
        <s v="Cajero"/>
        <s v="Auxiliar de Almacén"/>
        <s v="Auxiliar de Almacen"/>
      </sharedItems>
    </cacheField>
    <cacheField name="horario" numFmtId="0">
      <sharedItems/>
    </cacheField>
    <cacheField name="salario" numFmtId="0">
      <sharedItems containsSemiMixedTypes="0" containsString="0" containsNumber="1" containsInteger="1" minValue="9500" maxValue="4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x v="0"/>
    <x v="0"/>
    <s v="Av. Obregon 301, Col. Centro"/>
    <n v="2456789.5"/>
  </r>
  <r>
    <n v="2"/>
    <x v="1"/>
    <x v="0"/>
    <s v="Blvd. Luis Donaldo Colosio 890"/>
    <n v="3189456.75"/>
  </r>
  <r>
    <n v="3"/>
    <x v="2"/>
    <x v="0"/>
    <s v="Calle 5 de Mayo 456"/>
    <n v="1876543.2"/>
  </r>
  <r>
    <n v="4"/>
    <x v="3"/>
    <x v="1"/>
    <s v="Carretera Internacional Km 12"/>
    <n v="1345678.9"/>
  </r>
  <r>
    <n v="5"/>
    <x v="4"/>
    <x v="2"/>
    <s v="Av. 16 de Septiembre 123"/>
    <n v="2098765.4"/>
  </r>
  <r>
    <n v="6"/>
    <x v="5"/>
    <x v="0"/>
    <s v="Av. Tecnologico 450 Sur"/>
    <n v="4567890.0999999996"/>
  </r>
  <r>
    <n v="7"/>
    <x v="6"/>
    <x v="0"/>
    <s v="Privada Las Quintas 89"/>
    <n v="1765432.8"/>
  </r>
  <r>
    <n v="8"/>
    <x v="7"/>
    <x v="0"/>
    <s v="Calle del Cerro 210, Col. Bella Vista"/>
    <n v="2987654.3"/>
  </r>
  <r>
    <n v="9"/>
    <x v="8"/>
    <x v="3"/>
    <s v="Blvd. Luis Encinas 567"/>
    <n v="1654321.6"/>
  </r>
  <r>
    <n v="10"/>
    <x v="9"/>
    <x v="4"/>
    <s v="Av. Madero 345"/>
    <n v="223456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1"/>
    <x v="0"/>
    <s v="Av. Obregon 245, Col. Centro"/>
    <s v="Nogales"/>
    <s v="6311234567"/>
    <s v="ana.lopez@gmail.com"/>
    <x v="0"/>
  </r>
  <r>
    <n v="2"/>
    <x v="1"/>
    <s v="Calle Reforma 112, Fracc. Fundo Legal"/>
    <s v="Nogales"/>
    <s v="6312345678"/>
    <s v="carlos.ramirez@gmail.com"/>
    <x v="1"/>
  </r>
  <r>
    <n v="3"/>
    <x v="2"/>
    <s v="Blvd. Luis Donaldo Colosio 567"/>
    <s v="Nogales"/>
    <s v="6313456789"/>
    <s v="sofia.torres@gmail.com"/>
    <x v="0"/>
  </r>
  <r>
    <n v="4"/>
    <x v="3"/>
    <s v="Calle 5 de Mayo 89, Col. Fundo"/>
    <s v="Nogales"/>
    <s v="6314567890"/>
    <s v="juanp.hernandez@gmail.com"/>
    <x v="1"/>
  </r>
  <r>
    <n v="5"/>
    <x v="4"/>
    <s v="Av. Tecnologico 320 Norte"/>
    <s v="Nogales"/>
    <s v="6315678901"/>
    <s v="mfer.diaz@gmail.com"/>
    <x v="0"/>
  </r>
  <r>
    <n v="6"/>
    <x v="5"/>
    <s v="Calle Hidalgo 456, Col. El Bellavista"/>
    <s v="Nogales"/>
    <s v="6316789012"/>
    <s v="luis.gomez@gmail.com"/>
    <x v="1"/>
  </r>
  <r>
    <n v="7"/>
    <x v="6"/>
    <s v="Privada Las Palmas 78"/>
    <s v="Santa Ana"/>
    <s v="6457890123"/>
    <s v="vale.mendoza@gmail.com"/>
    <x v="0"/>
  </r>
  <r>
    <n v="8"/>
    <x v="7"/>
    <s v="Calle Sonora 201, Col. Centro"/>
    <s v="Nogales"/>
    <s v="6318901234"/>
    <s v="diego.vargas@gmail.com"/>
    <x v="1"/>
  </r>
  <r>
    <n v="9"/>
    <x v="8"/>
    <s v="Av. Mexico 1345"/>
    <s v="Imuris"/>
    <s v="6319012345"/>
    <s v="gabi.ruiz@gmail.com"/>
    <x v="0"/>
  </r>
  <r>
    <n v="10"/>
    <x v="9"/>
    <s v="Calle Juarez 67, Fracc. Prados"/>
    <s v="Nogales"/>
    <s v="6310123456"/>
    <s v="alex.morales@gmail.com"/>
    <x v="1"/>
  </r>
  <r>
    <n v="1008"/>
    <x v="10"/>
    <s v="Calle Constitución 412, Col. Los Arcos"/>
    <s v="Nogales"/>
    <s v="631-777-8899"/>
    <s v="jesus.valenzuela@gmail.com"/>
    <x v="1"/>
  </r>
  <r>
    <n v="1009"/>
    <x v="11"/>
    <s v="Av. Tecnologico 678 Sur, Fracc. El Ranchito"/>
    <s v="Nogales"/>
    <s v="631-888-9900"/>
    <s v="claudia.moreno@outlook.com"/>
    <x v="0"/>
  </r>
  <r>
    <n v="1010"/>
    <x v="12"/>
    <s v="Calle Morelos 189, Col. Centro"/>
    <s v="Santa Ana"/>
    <s v="645-999-0011"/>
    <s v="ricardo.salazar@yahoo.com.mx"/>
    <x v="1"/>
  </r>
  <r>
    <n v="1011"/>
    <x v="13"/>
    <s v="Privada Las Flores 45, Col. Bella Vista"/>
    <s v="Nogales"/>
    <s v="631-111-2233"/>
    <s v="natalia.quintero@hotmail.com"/>
    <x v="0"/>
  </r>
  <r>
    <n v="1012"/>
    <x v="14"/>
    <s v="Blvd. Luis Donaldo Colosio 1450"/>
    <s v="Imuris"/>
    <s v="631-222-3344"/>
    <s v="marco.reyes@live.com.mx"/>
    <x v="1"/>
  </r>
  <r>
    <n v="1013"/>
    <x v="15"/>
    <s v="Calle Hidalgo 321, Fracc. Prados del Norte"/>
    <s v="Nogales"/>
    <s v="631-333-4455"/>
    <s v="veronica.ortiz@proton.me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1"/>
    <n v="1"/>
    <n v="1"/>
    <x v="0"/>
    <s v="Lun-Vie 8:00-17:00 + Sab 9:00-14:00"/>
    <n v="48000"/>
  </r>
  <r>
    <n v="1005"/>
    <n v="1013"/>
    <n v="8"/>
    <x v="0"/>
    <s v="Lun-Vie 8:00-17:00 + Sab 9:00-14:00"/>
    <n v="48000"/>
  </r>
  <r>
    <n v="10"/>
    <n v="10"/>
    <n v="6"/>
    <x v="1"/>
    <s v="Lun-Vie 8:00-18:00 + Sab medio dia"/>
    <n v="32000"/>
  </r>
  <r>
    <n v="3"/>
    <n v="3"/>
    <n v="2"/>
    <x v="2"/>
    <s v="Lun-Vie 9:00-18:00"/>
    <n v="28500"/>
  </r>
  <r>
    <n v="1007"/>
    <n v="1009"/>
    <n v="9"/>
    <x v="2"/>
    <s v="Lun-Vie 9:00-18:00"/>
    <n v="28500"/>
  </r>
  <r>
    <n v="8"/>
    <n v="8"/>
    <n v="8"/>
    <x v="3"/>
    <s v="Lun-Vie 14:00-22:00 + Sab medio dia"/>
    <n v="19500"/>
  </r>
  <r>
    <n v="5"/>
    <n v="5"/>
    <n v="2"/>
    <x v="4"/>
    <s v="Lun-Vie 7:00-16:00"/>
    <n v="16800"/>
  </r>
  <r>
    <n v="1009"/>
    <n v="1011"/>
    <n v="10"/>
    <x v="5"/>
    <s v="Lun-Vie 7:00-16:00"/>
    <n v="16800"/>
  </r>
  <r>
    <n v="9"/>
    <n v="9"/>
    <n v="7"/>
    <x v="6"/>
    <s v="Lun-Vie 8:30-17:30"/>
    <n v="12400"/>
  </r>
  <r>
    <n v="4"/>
    <n v="4"/>
    <n v="3"/>
    <x v="7"/>
    <s v="Lun-Sáb 10:00-20:00"/>
    <n v="11200"/>
  </r>
  <r>
    <n v="1008"/>
    <n v="1010"/>
    <n v="9"/>
    <x v="7"/>
    <s v="Lun-Sab 10:00-20:00"/>
    <n v="11200"/>
  </r>
  <r>
    <n v="7"/>
    <n v="7"/>
    <n v="5"/>
    <x v="8"/>
    <s v="Turnos rotativos 6 dias"/>
    <n v="9900"/>
  </r>
  <r>
    <n v="2"/>
    <n v="2"/>
    <n v="1"/>
    <x v="9"/>
    <s v="Lun-Dom turnos rotativos"/>
    <n v="9800"/>
  </r>
  <r>
    <n v="1006"/>
    <n v="1008"/>
    <n v="8"/>
    <x v="9"/>
    <s v="Lun-Dom turnos rotativos"/>
    <n v="9800"/>
  </r>
  <r>
    <n v="6"/>
    <n v="6"/>
    <n v="4"/>
    <x v="10"/>
    <s v="Lun-Sáb 8:00-17:00"/>
    <n v="9500"/>
  </r>
  <r>
    <n v="1010"/>
    <n v="1012"/>
    <n v="10"/>
    <x v="11"/>
    <s v="Lun-Sab 8:00-17:00"/>
    <n v="9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937CD5-E512-45F0-A17A-E91336A5840E}" name="TablaDinámica5" cacheId="20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A3:E16" firstHeaderRow="0" firstDataRow="1" firstDataCol="1"/>
  <pivotFields count="6">
    <pivotField dataField="1" showAll="0"/>
    <pivotField dataField="1" showAll="0"/>
    <pivotField dataField="1" showAll="0"/>
    <pivotField axis="axisRow" showAll="0" sortType="descending" defaultSubtotal="0">
      <items count="12">
        <item x="11"/>
        <item x="10"/>
        <item x="8"/>
        <item x="9"/>
        <item x="4"/>
        <item x="5"/>
        <item x="0"/>
        <item x="2"/>
        <item x="1"/>
        <item x="6"/>
        <item x="3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3"/>
  </rowFields>
  <rowItems count="13">
    <i>
      <x v="6"/>
    </i>
    <i>
      <x v="8"/>
    </i>
    <i>
      <x v="7"/>
    </i>
    <i>
      <x v="10"/>
    </i>
    <i>
      <x v="4"/>
    </i>
    <i>
      <x v="5"/>
    </i>
    <i>
      <x v="9"/>
    </i>
    <i>
      <x v="11"/>
    </i>
    <i>
      <x v="2"/>
    </i>
    <i>
      <x v="3"/>
    </i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áx. de salario" fld="5" subtotal="max" baseField="3" baseItem="6"/>
    <dataField name="Máx. de fk_sucursal" fld="2" subtotal="max" baseField="3" baseItem="6"/>
    <dataField name="Máx. de fk_datospersonales" fld="1" subtotal="max" baseField="3" baseItem="6"/>
    <dataField name="Máx. de codigo" fld="0" subtotal="max" baseField="3" baseItem="6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AFFFEF-C1DD-4653-A4FB-EE13DD24A471}" name="TablaDinámica6" cacheId="19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A3:C14" firstHeaderRow="0" firstDataRow="1" firstDataCol="1"/>
  <pivotFields count="5">
    <pivotField dataField="1" showAll="0"/>
    <pivotField axis="axisRow" showAll="0" sortType="descending">
      <items count="11">
        <item x="4"/>
        <item x="0"/>
        <item x="6"/>
        <item x="2"/>
        <item x="8"/>
        <item x="1"/>
        <item x="9"/>
        <item x="3"/>
        <item x="5"/>
        <item x="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6">
        <item x="3"/>
        <item x="1"/>
        <item x="4"/>
        <item x="0"/>
        <item x="2"/>
        <item t="default"/>
      </items>
    </pivotField>
    <pivotField showAll="0"/>
    <pivotField dataField="1" showAll="0"/>
  </pivotFields>
  <rowFields count="1">
    <field x="1"/>
  </rowFields>
  <rowItems count="11">
    <i>
      <x v="8"/>
    </i>
    <i>
      <x v="5"/>
    </i>
    <i>
      <x v="9"/>
    </i>
    <i>
      <x v="1"/>
    </i>
    <i>
      <x v="6"/>
    </i>
    <i>
      <x/>
    </i>
    <i>
      <x v="3"/>
    </i>
    <i>
      <x v="2"/>
    </i>
    <i>
      <x v="4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id" fld="0" baseField="0" baseItem="0"/>
    <dataField name="Suma de cantidad_ventas_anuales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EFFAE7-99D7-4FE9-9739-5881234AE61F}" name="TablaDinámica9" cacheId="20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6">
  <location ref="A3:C6" firstHeaderRow="0" firstDataRow="1" firstDataCol="1"/>
  <pivotFields count="7">
    <pivotField dataField="1" showAll="0"/>
    <pivotField showAll="0" sortType="ascending" defaultSubtotal="0">
      <items count="16">
        <item x="9"/>
        <item x="0"/>
        <item x="1"/>
        <item x="11"/>
        <item x="7"/>
        <item x="8"/>
        <item x="10"/>
        <item x="3"/>
        <item x="5"/>
        <item x="14"/>
        <item x="4"/>
        <item x="13"/>
        <item x="12"/>
        <item x="2"/>
        <item x="6"/>
        <item x="1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genero" fld="6" subtotal="count" baseField="0" baseItem="0"/>
    <dataField name="Suma de id" fld="0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805CEB0F-A140-48D6-9409-A1DCE77ADCF9}" autoFormatId="16" applyNumberFormats="0" applyBorderFormats="0" applyFontFormats="0" applyPatternFormats="0" applyAlignmentFormats="0" applyWidthHeightFormats="0">
  <queryTableRefresh nextId="6">
    <queryTableFields count="5">
      <queryTableField id="1" name="Name" tableColumnId="1"/>
      <queryTableField id="2" name="Data" tableColumnId="2"/>
      <queryTableField id="3" name="Schema" tableColumnId="3"/>
      <queryTableField id="4" name="Item" tableColumnId="4"/>
      <queryTableField id="5" name="Kind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5" xr16:uid="{001B08E6-9A0E-4CDF-835E-46178B707906}" autoFormatId="16" applyNumberFormats="0" applyBorderFormats="0" applyFontFormats="0" applyPatternFormats="0" applyAlignmentFormats="0" applyWidthHeightFormats="0">
  <queryTableRefresh nextId="7">
    <queryTableFields count="6">
      <queryTableField id="1" name="codigo" tableColumnId="1"/>
      <queryTableField id="2" name="fk_datospersonales" tableColumnId="2"/>
      <queryTableField id="3" name="fk_sucursal" tableColumnId="3"/>
      <queryTableField id="4" name="cargo" tableColumnId="4"/>
      <queryTableField id="5" name="horario" tableColumnId="5"/>
      <queryTableField id="6" name="salario" tableColumnId="6"/>
    </queryTableFields>
  </queryTableRefresh>
  <extLst>
    <ext xmlns:x15="http://schemas.microsoft.com/office/spreadsheetml/2010/11/main" uri="{883FBD77-0823-4a55-B5E3-86C4891E6966}">
      <x15:queryTable sourceDataName="Consulta - datosempleado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backgroundRefresh="0" connectionId="6" xr16:uid="{274ECBA9-BAE3-4944-90B6-3CBC2077BDD5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nombre" tableColumnId="2"/>
      <queryTableField id="3" name="direccion" tableColumnId="3"/>
      <queryTableField id="4" name="ciudad" tableColumnId="4"/>
      <queryTableField id="5" name="num_telefono" tableColumnId="5"/>
      <queryTableField id="6" name="email" tableColumnId="6"/>
      <queryTableField id="7" name="genero" tableColumnId="7"/>
    </queryTableFields>
  </queryTableRefresh>
  <extLst>
    <ext xmlns:x15="http://schemas.microsoft.com/office/spreadsheetml/2010/11/main" uri="{883FBD77-0823-4a55-B5E3-86C4891E6966}">
      <x15:queryTable sourceDataName="Consulta - datospersonales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backgroundRefresh="0" connectionId="7" xr16:uid="{3AA6B19A-4C42-40C0-96C7-59A7E5CFA021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nombre_sucursal" tableColumnId="2"/>
      <queryTableField id="3" name="ciudad" tableColumnId="3"/>
      <queryTableField id="4" name="direccion" tableColumnId="4"/>
      <queryTableField id="5" name="cantidad_ventas_anuales" tableColumnId="5"/>
    </queryTableFields>
  </queryTableRefresh>
  <extLst>
    <ext xmlns:x15="http://schemas.microsoft.com/office/spreadsheetml/2010/11/main" uri="{883FBD77-0823-4a55-B5E3-86C4891E6966}">
      <x15:queryTable sourceDataName="Consulta - sucursal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1A3419-4751-4456-A71D-AD131AF9CCD2}" name="HOLAMUNDO\SQLEXPRESS__datos_generales" displayName="HOLAMUNDO\SQLEXPRESS__datos_generales" ref="A1:E4" tableType="queryTable" totalsRowShown="0">
  <autoFilter ref="A1:E4" xr:uid="{C31A3419-4751-4456-A71D-AD131AF9CCD2}"/>
  <tableColumns count="5">
    <tableColumn id="1" xr3:uid="{09E5391F-9DF1-45CF-944B-07B66EB86338}" uniqueName="1" name="Name" queryTableFieldId="1" dataDxfId="14"/>
    <tableColumn id="2" xr3:uid="{C0632969-E9D3-4697-95C9-51BA6EA39B47}" uniqueName="2" name="Data" queryTableFieldId="2"/>
    <tableColumn id="3" xr3:uid="{1B6D8964-7D6F-4E1C-B63D-01233A6E34B2}" uniqueName="3" name="Schema" queryTableFieldId="3" dataDxfId="13"/>
    <tableColumn id="4" xr3:uid="{3897B821-4028-4E40-8849-0BBAD624E0A5}" uniqueName="4" name="Item" queryTableFieldId="4" dataDxfId="12"/>
    <tableColumn id="5" xr3:uid="{73852B50-EA3A-4ACD-A8DE-346B1A51D26A}" uniqueName="5" name="Kind" queryTableFieldId="5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97119A-D40D-4C99-AA4C-89C446E18109}" name="datosempleado" displayName="datosempleado" ref="A6:F22" tableType="queryTable" totalsRowShown="0">
  <autoFilter ref="A6:F22" xr:uid="{4997119A-D40D-4C99-AA4C-89C446E18109}"/>
  <sortState xmlns:xlrd2="http://schemas.microsoft.com/office/spreadsheetml/2017/richdata2" ref="A7:F22">
    <sortCondition descending="1" ref="F6:F22"/>
  </sortState>
  <tableColumns count="6">
    <tableColumn id="1" xr3:uid="{2A5BAB9E-E77E-4208-92CD-7425B48FF85C}" uniqueName="1" name="codigo" queryTableFieldId="1"/>
    <tableColumn id="2" xr3:uid="{E3FB107A-FDC9-4E0C-A6FC-0A7EF4732848}" uniqueName="2" name="fk_datospersonales" queryTableFieldId="2"/>
    <tableColumn id="3" xr3:uid="{80E19351-6985-496B-BADA-B21FE345434E}" uniqueName="3" name="fk_sucursal" queryTableFieldId="3"/>
    <tableColumn id="4" xr3:uid="{361B322A-3B52-4A02-A5CD-10D89D1FAC7B}" uniqueName="4" name="cargo" queryTableFieldId="4" dataDxfId="4"/>
    <tableColumn id="5" xr3:uid="{E5EBBD58-A2F7-4E2A-ABAE-B45705DAC2A8}" uniqueName="5" name="horario" queryTableFieldId="5" dataDxfId="3"/>
    <tableColumn id="6" xr3:uid="{0A48AA19-09A4-4632-B800-EF68848885DA}" uniqueName="6" name="salario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75C422-82F5-415A-905C-346D332340AF}" name="datospersonales" displayName="datospersonales" ref="A24:G40" tableType="queryTable" totalsRowShown="0">
  <autoFilter ref="A24:G40" xr:uid="{7A75C422-82F5-415A-905C-346D332340AF}"/>
  <tableColumns count="7">
    <tableColumn id="1" xr3:uid="{C0DE84AF-60AB-4E9A-AE07-B050C09898F2}" uniqueName="1" name="id" queryTableFieldId="1"/>
    <tableColumn id="2" xr3:uid="{A56EDFC3-FB81-4FEB-945E-2CFB556B8BF6}" uniqueName="2" name="nombre" queryTableFieldId="2" dataDxfId="10"/>
    <tableColumn id="3" xr3:uid="{90C887D1-593A-4DD5-BEC6-25992E4F1FE9}" uniqueName="3" name="direccion" queryTableFieldId="3" dataDxfId="9"/>
    <tableColumn id="4" xr3:uid="{5203ECA0-B3C2-47A3-9D26-B87CE58D8C4A}" uniqueName="4" name="ciudad" queryTableFieldId="4" dataDxfId="8"/>
    <tableColumn id="5" xr3:uid="{29E91B5F-804F-46D2-9431-F26030504CC3}" uniqueName="5" name="num_telefono" queryTableFieldId="5" dataDxfId="7"/>
    <tableColumn id="6" xr3:uid="{4AA71A4F-7D01-44AE-B69E-71DB9BE758BA}" uniqueName="6" name="email" queryTableFieldId="6" dataDxfId="6"/>
    <tableColumn id="7" xr3:uid="{26C50755-8F03-498D-B267-61F14BB380BB}" uniqueName="7" name="genero" queryTableFieldId="7" dataDxf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C1A228-C164-4D6E-A244-B93CFC0AE70B}" name="sucursal" displayName="sucursal" ref="A42:E52" tableType="queryTable" totalsRowShown="0">
  <autoFilter ref="A42:E52" xr:uid="{26C1A228-C164-4D6E-A244-B93CFC0AE70B}"/>
  <sortState xmlns:xlrd2="http://schemas.microsoft.com/office/spreadsheetml/2017/richdata2" ref="A43:E52">
    <sortCondition descending="1" ref="E42:E52"/>
  </sortState>
  <tableColumns count="5">
    <tableColumn id="1" xr3:uid="{9CB20E38-7343-4FDC-B301-9699CC533701}" uniqueName="1" name="id" queryTableFieldId="1"/>
    <tableColumn id="2" xr3:uid="{B86A205A-779F-45DE-89FD-F6D25C4095B1}" uniqueName="2" name="nombre_sucursal" queryTableFieldId="2" dataDxfId="2"/>
    <tableColumn id="3" xr3:uid="{2A14B059-B9DE-4327-9033-8551CDE80944}" uniqueName="3" name="ciudad" queryTableFieldId="3" dataDxfId="1"/>
    <tableColumn id="4" xr3:uid="{5B482BCD-0131-4042-9E18-9F93D6E9D0B4}" uniqueName="4" name="direccion" queryTableFieldId="4" dataDxfId="0"/>
    <tableColumn id="5" xr3:uid="{50C7DF01-7582-4B06-A96E-161187556C13}" uniqueName="5" name="cantidad_ventas_anuale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C640B-28E4-4737-A4C0-1AF80BFA2FD8}">
  <dimension ref="A1:G52"/>
  <sheetViews>
    <sheetView tabSelected="1" workbookViewId="0">
      <selection activeCell="F45" sqref="F45"/>
    </sheetView>
  </sheetViews>
  <sheetFormatPr baseColWidth="10" defaultRowHeight="15" x14ac:dyDescent="0.25"/>
  <cols>
    <col min="1" max="1" width="16.140625" customWidth="1"/>
    <col min="2" max="2" width="37.42578125" customWidth="1"/>
    <col min="3" max="3" width="18" bestFit="1" customWidth="1"/>
    <col min="4" max="4" width="32.140625" bestFit="1" customWidth="1"/>
    <col min="5" max="5" width="25.85546875" bestFit="1" customWidth="1"/>
    <col min="6" max="6" width="39.5703125" customWidth="1"/>
    <col min="7" max="7" width="9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5">
      <c r="A2" s="1" t="s">
        <v>5</v>
      </c>
      <c r="B2" t="s">
        <v>6</v>
      </c>
      <c r="C2" s="1" t="s">
        <v>7</v>
      </c>
      <c r="D2" s="1" t="s">
        <v>5</v>
      </c>
      <c r="E2" s="1" t="s">
        <v>8</v>
      </c>
    </row>
    <row r="3" spans="1:6" x14ac:dyDescent="0.25">
      <c r="A3" s="1" t="s">
        <v>9</v>
      </c>
      <c r="B3" t="s">
        <v>6</v>
      </c>
      <c r="C3" s="1" t="s">
        <v>7</v>
      </c>
      <c r="D3" s="1" t="s">
        <v>9</v>
      </c>
      <c r="E3" s="1" t="s">
        <v>8</v>
      </c>
    </row>
    <row r="4" spans="1:6" x14ac:dyDescent="0.25">
      <c r="A4" s="1" t="s">
        <v>10</v>
      </c>
      <c r="B4" t="s">
        <v>6</v>
      </c>
      <c r="C4" s="1" t="s">
        <v>7</v>
      </c>
      <c r="D4" s="1" t="s">
        <v>10</v>
      </c>
      <c r="E4" s="1" t="s">
        <v>8</v>
      </c>
    </row>
    <row r="6" spans="1:6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</row>
    <row r="7" spans="1:6" x14ac:dyDescent="0.25">
      <c r="A7">
        <v>1</v>
      </c>
      <c r="B7">
        <v>1</v>
      </c>
      <c r="C7">
        <v>1</v>
      </c>
      <c r="D7" s="1" t="s">
        <v>32</v>
      </c>
      <c r="E7" s="1" t="s">
        <v>19</v>
      </c>
      <c r="F7">
        <v>48000</v>
      </c>
    </row>
    <row r="8" spans="1:6" x14ac:dyDescent="0.25">
      <c r="A8">
        <v>1005</v>
      </c>
      <c r="B8">
        <v>1013</v>
      </c>
      <c r="C8">
        <v>8</v>
      </c>
      <c r="D8" s="1" t="s">
        <v>32</v>
      </c>
      <c r="E8" s="1" t="s">
        <v>19</v>
      </c>
      <c r="F8">
        <v>48000</v>
      </c>
    </row>
    <row r="9" spans="1:6" x14ac:dyDescent="0.25">
      <c r="A9">
        <v>10</v>
      </c>
      <c r="B9">
        <v>10</v>
      </c>
      <c r="C9">
        <v>6</v>
      </c>
      <c r="D9" s="1" t="s">
        <v>33</v>
      </c>
      <c r="E9" s="1" t="s">
        <v>20</v>
      </c>
      <c r="F9">
        <v>32000</v>
      </c>
    </row>
    <row r="10" spans="1:6" x14ac:dyDescent="0.25">
      <c r="A10">
        <v>3</v>
      </c>
      <c r="B10">
        <v>3</v>
      </c>
      <c r="C10">
        <v>2</v>
      </c>
      <c r="D10" s="1" t="s">
        <v>35</v>
      </c>
      <c r="E10" s="1" t="s">
        <v>22</v>
      </c>
      <c r="F10">
        <v>28500</v>
      </c>
    </row>
    <row r="11" spans="1:6" x14ac:dyDescent="0.25">
      <c r="A11">
        <v>1007</v>
      </c>
      <c r="B11">
        <v>1009</v>
      </c>
      <c r="C11">
        <v>9</v>
      </c>
      <c r="D11" s="1" t="s">
        <v>35</v>
      </c>
      <c r="E11" s="1" t="s">
        <v>22</v>
      </c>
      <c r="F11">
        <v>28500</v>
      </c>
    </row>
    <row r="12" spans="1:6" x14ac:dyDescent="0.25">
      <c r="A12">
        <v>8</v>
      </c>
      <c r="B12">
        <v>8</v>
      </c>
      <c r="C12">
        <v>8</v>
      </c>
      <c r="D12" s="1" t="s">
        <v>29</v>
      </c>
      <c r="E12" s="1" t="s">
        <v>17</v>
      </c>
      <c r="F12">
        <v>19500</v>
      </c>
    </row>
    <row r="13" spans="1:6" x14ac:dyDescent="0.25">
      <c r="A13">
        <v>5</v>
      </c>
      <c r="B13">
        <v>5</v>
      </c>
      <c r="C13">
        <v>2</v>
      </c>
      <c r="D13" s="1" t="s">
        <v>30</v>
      </c>
      <c r="E13" s="1" t="s">
        <v>18</v>
      </c>
      <c r="F13">
        <v>16800</v>
      </c>
    </row>
    <row r="14" spans="1:6" x14ac:dyDescent="0.25">
      <c r="A14">
        <v>1009</v>
      </c>
      <c r="B14">
        <v>1011</v>
      </c>
      <c r="C14">
        <v>10</v>
      </c>
      <c r="D14" s="1" t="s">
        <v>31</v>
      </c>
      <c r="E14" s="1" t="s">
        <v>18</v>
      </c>
      <c r="F14">
        <v>16800</v>
      </c>
    </row>
    <row r="15" spans="1:6" x14ac:dyDescent="0.25">
      <c r="A15">
        <v>9</v>
      </c>
      <c r="B15">
        <v>9</v>
      </c>
      <c r="C15">
        <v>7</v>
      </c>
      <c r="D15" s="1" t="s">
        <v>34</v>
      </c>
      <c r="E15" s="1" t="s">
        <v>21</v>
      </c>
      <c r="F15">
        <v>12400</v>
      </c>
    </row>
    <row r="16" spans="1:6" x14ac:dyDescent="0.25">
      <c r="A16">
        <v>4</v>
      </c>
      <c r="B16">
        <v>4</v>
      </c>
      <c r="C16">
        <v>3</v>
      </c>
      <c r="D16" s="1" t="s">
        <v>26</v>
      </c>
      <c r="E16" s="1" t="s">
        <v>14</v>
      </c>
      <c r="F16" s="4">
        <v>11200</v>
      </c>
    </row>
    <row r="17" spans="1:7" x14ac:dyDescent="0.25">
      <c r="A17">
        <v>1008</v>
      </c>
      <c r="B17">
        <v>1010</v>
      </c>
      <c r="C17">
        <v>9</v>
      </c>
      <c r="D17" s="1" t="s">
        <v>26</v>
      </c>
      <c r="E17" s="1" t="s">
        <v>13</v>
      </c>
      <c r="F17">
        <v>11200</v>
      </c>
    </row>
    <row r="18" spans="1:7" x14ac:dyDescent="0.25">
      <c r="A18">
        <v>7</v>
      </c>
      <c r="B18">
        <v>7</v>
      </c>
      <c r="C18">
        <v>5</v>
      </c>
      <c r="D18" s="1" t="s">
        <v>36</v>
      </c>
      <c r="E18" s="1" t="s">
        <v>23</v>
      </c>
      <c r="F18">
        <v>9900</v>
      </c>
    </row>
    <row r="19" spans="1:7" x14ac:dyDescent="0.25">
      <c r="A19">
        <v>2</v>
      </c>
      <c r="B19">
        <v>2</v>
      </c>
      <c r="C19">
        <v>1</v>
      </c>
      <c r="D19" s="1" t="s">
        <v>25</v>
      </c>
      <c r="E19" s="1" t="s">
        <v>12</v>
      </c>
      <c r="F19">
        <v>9800</v>
      </c>
    </row>
    <row r="20" spans="1:7" x14ac:dyDescent="0.25">
      <c r="A20">
        <v>1006</v>
      </c>
      <c r="B20">
        <v>1008</v>
      </c>
      <c r="C20">
        <v>8</v>
      </c>
      <c r="D20" s="1" t="s">
        <v>25</v>
      </c>
      <c r="E20" s="1" t="s">
        <v>12</v>
      </c>
      <c r="F20">
        <v>9800</v>
      </c>
    </row>
    <row r="21" spans="1:7" x14ac:dyDescent="0.25">
      <c r="A21">
        <v>6</v>
      </c>
      <c r="B21">
        <v>6</v>
      </c>
      <c r="C21">
        <v>4</v>
      </c>
      <c r="D21" s="1" t="s">
        <v>28</v>
      </c>
      <c r="E21" s="1" t="s">
        <v>16</v>
      </c>
      <c r="F21">
        <v>9500</v>
      </c>
    </row>
    <row r="22" spans="1:7" x14ac:dyDescent="0.25">
      <c r="A22">
        <v>1010</v>
      </c>
      <c r="B22">
        <v>1012</v>
      </c>
      <c r="C22">
        <v>10</v>
      </c>
      <c r="D22" s="1" t="s">
        <v>27</v>
      </c>
      <c r="E22" s="1" t="s">
        <v>15</v>
      </c>
      <c r="F22">
        <v>9500</v>
      </c>
    </row>
    <row r="24" spans="1:7" x14ac:dyDescent="0.25">
      <c r="A24" t="s">
        <v>43</v>
      </c>
      <c r="B24" t="s">
        <v>44</v>
      </c>
      <c r="C24" t="s">
        <v>45</v>
      </c>
      <c r="D24" t="s">
        <v>46</v>
      </c>
      <c r="E24" t="s">
        <v>47</v>
      </c>
      <c r="F24" t="s">
        <v>48</v>
      </c>
      <c r="G24" t="s">
        <v>49</v>
      </c>
    </row>
    <row r="25" spans="1:7" x14ac:dyDescent="0.25">
      <c r="A25">
        <v>1</v>
      </c>
      <c r="B25" s="1" t="s">
        <v>50</v>
      </c>
      <c r="C25" s="1" t="s">
        <v>51</v>
      </c>
      <c r="D25" s="1" t="s">
        <v>52</v>
      </c>
      <c r="E25" s="1" t="s">
        <v>53</v>
      </c>
      <c r="F25" s="1" t="s">
        <v>54</v>
      </c>
      <c r="G25" s="1" t="s">
        <v>55</v>
      </c>
    </row>
    <row r="26" spans="1:7" x14ac:dyDescent="0.25">
      <c r="A26">
        <v>2</v>
      </c>
      <c r="B26" s="1" t="s">
        <v>56</v>
      </c>
      <c r="C26" s="1" t="s">
        <v>57</v>
      </c>
      <c r="D26" s="1" t="s">
        <v>52</v>
      </c>
      <c r="E26" s="1" t="s">
        <v>58</v>
      </c>
      <c r="F26" s="1" t="s">
        <v>59</v>
      </c>
      <c r="G26" s="1" t="s">
        <v>60</v>
      </c>
    </row>
    <row r="27" spans="1:7" x14ac:dyDescent="0.25">
      <c r="A27">
        <v>3</v>
      </c>
      <c r="B27" s="1" t="s">
        <v>61</v>
      </c>
      <c r="C27" s="1" t="s">
        <v>62</v>
      </c>
      <c r="D27" s="1" t="s">
        <v>52</v>
      </c>
      <c r="E27" s="1" t="s">
        <v>63</v>
      </c>
      <c r="F27" s="1" t="s">
        <v>64</v>
      </c>
      <c r="G27" s="1" t="s">
        <v>55</v>
      </c>
    </row>
    <row r="28" spans="1:7" x14ac:dyDescent="0.25">
      <c r="A28">
        <v>4</v>
      </c>
      <c r="B28" s="1" t="s">
        <v>65</v>
      </c>
      <c r="C28" s="1" t="s">
        <v>66</v>
      </c>
      <c r="D28" s="1" t="s">
        <v>52</v>
      </c>
      <c r="E28" s="1" t="s">
        <v>67</v>
      </c>
      <c r="F28" s="1" t="s">
        <v>68</v>
      </c>
      <c r="G28" s="1" t="s">
        <v>60</v>
      </c>
    </row>
    <row r="29" spans="1:7" x14ac:dyDescent="0.25">
      <c r="A29">
        <v>5</v>
      </c>
      <c r="B29" s="1" t="s">
        <v>69</v>
      </c>
      <c r="C29" s="1" t="s">
        <v>70</v>
      </c>
      <c r="D29" s="1" t="s">
        <v>52</v>
      </c>
      <c r="E29" s="1" t="s">
        <v>71</v>
      </c>
      <c r="F29" s="1" t="s">
        <v>72</v>
      </c>
      <c r="G29" s="1" t="s">
        <v>55</v>
      </c>
    </row>
    <row r="30" spans="1:7" x14ac:dyDescent="0.25">
      <c r="A30">
        <v>6</v>
      </c>
      <c r="B30" s="1" t="s">
        <v>73</v>
      </c>
      <c r="C30" s="1" t="s">
        <v>74</v>
      </c>
      <c r="D30" s="1" t="s">
        <v>52</v>
      </c>
      <c r="E30" s="1" t="s">
        <v>75</v>
      </c>
      <c r="F30" s="1" t="s">
        <v>76</v>
      </c>
      <c r="G30" s="1" t="s">
        <v>60</v>
      </c>
    </row>
    <row r="31" spans="1:7" x14ac:dyDescent="0.25">
      <c r="A31">
        <v>7</v>
      </c>
      <c r="B31" s="1" t="s">
        <v>77</v>
      </c>
      <c r="C31" s="1" t="s">
        <v>78</v>
      </c>
      <c r="D31" s="1" t="s">
        <v>79</v>
      </c>
      <c r="E31" s="1" t="s">
        <v>80</v>
      </c>
      <c r="F31" s="1" t="s">
        <v>81</v>
      </c>
      <c r="G31" s="1" t="s">
        <v>55</v>
      </c>
    </row>
    <row r="32" spans="1:7" x14ac:dyDescent="0.25">
      <c r="A32">
        <v>8</v>
      </c>
      <c r="B32" s="1" t="s">
        <v>82</v>
      </c>
      <c r="C32" s="1" t="s">
        <v>83</v>
      </c>
      <c r="D32" s="1" t="s">
        <v>52</v>
      </c>
      <c r="E32" s="1" t="s">
        <v>84</v>
      </c>
      <c r="F32" s="1" t="s">
        <v>85</v>
      </c>
      <c r="G32" s="1" t="s">
        <v>60</v>
      </c>
    </row>
    <row r="33" spans="1:7" x14ac:dyDescent="0.25">
      <c r="A33">
        <v>9</v>
      </c>
      <c r="B33" s="1" t="s">
        <v>86</v>
      </c>
      <c r="C33" s="1" t="s">
        <v>87</v>
      </c>
      <c r="D33" s="1" t="s">
        <v>88</v>
      </c>
      <c r="E33" s="1" t="s">
        <v>89</v>
      </c>
      <c r="F33" s="1" t="s">
        <v>90</v>
      </c>
      <c r="G33" s="1" t="s">
        <v>55</v>
      </c>
    </row>
    <row r="34" spans="1:7" x14ac:dyDescent="0.25">
      <c r="A34">
        <v>10</v>
      </c>
      <c r="B34" s="1" t="s">
        <v>91</v>
      </c>
      <c r="C34" s="1" t="s">
        <v>92</v>
      </c>
      <c r="D34" s="1" t="s">
        <v>52</v>
      </c>
      <c r="E34" s="1" t="s">
        <v>93</v>
      </c>
      <c r="F34" s="1" t="s">
        <v>94</v>
      </c>
      <c r="G34" s="1" t="s">
        <v>60</v>
      </c>
    </row>
    <row r="35" spans="1:7" x14ac:dyDescent="0.25">
      <c r="A35">
        <v>1008</v>
      </c>
      <c r="B35" s="1" t="s">
        <v>95</v>
      </c>
      <c r="C35" s="1" t="s">
        <v>96</v>
      </c>
      <c r="D35" s="1" t="s">
        <v>52</v>
      </c>
      <c r="E35" s="1" t="s">
        <v>97</v>
      </c>
      <c r="F35" s="1" t="s">
        <v>98</v>
      </c>
      <c r="G35" s="1" t="s">
        <v>60</v>
      </c>
    </row>
    <row r="36" spans="1:7" x14ac:dyDescent="0.25">
      <c r="A36">
        <v>1009</v>
      </c>
      <c r="B36" s="1" t="s">
        <v>99</v>
      </c>
      <c r="C36" s="1" t="s">
        <v>100</v>
      </c>
      <c r="D36" s="1" t="s">
        <v>52</v>
      </c>
      <c r="E36" s="1" t="s">
        <v>101</v>
      </c>
      <c r="F36" s="1" t="s">
        <v>102</v>
      </c>
      <c r="G36" s="1" t="s">
        <v>55</v>
      </c>
    </row>
    <row r="37" spans="1:7" x14ac:dyDescent="0.25">
      <c r="A37">
        <v>1010</v>
      </c>
      <c r="B37" s="1" t="s">
        <v>103</v>
      </c>
      <c r="C37" s="1" t="s">
        <v>104</v>
      </c>
      <c r="D37" s="1" t="s">
        <v>79</v>
      </c>
      <c r="E37" s="1" t="s">
        <v>105</v>
      </c>
      <c r="F37" s="1" t="s">
        <v>106</v>
      </c>
      <c r="G37" s="1" t="s">
        <v>60</v>
      </c>
    </row>
    <row r="38" spans="1:7" x14ac:dyDescent="0.25">
      <c r="A38">
        <v>1011</v>
      </c>
      <c r="B38" s="1" t="s">
        <v>107</v>
      </c>
      <c r="C38" s="1" t="s">
        <v>108</v>
      </c>
      <c r="D38" s="1" t="s">
        <v>52</v>
      </c>
      <c r="E38" s="1" t="s">
        <v>109</v>
      </c>
      <c r="F38" s="1" t="s">
        <v>110</v>
      </c>
      <c r="G38" s="1" t="s">
        <v>55</v>
      </c>
    </row>
    <row r="39" spans="1:7" x14ac:dyDescent="0.25">
      <c r="A39">
        <v>1012</v>
      </c>
      <c r="B39" s="1" t="s">
        <v>111</v>
      </c>
      <c r="C39" s="1" t="s">
        <v>112</v>
      </c>
      <c r="D39" s="1" t="s">
        <v>88</v>
      </c>
      <c r="E39" s="1" t="s">
        <v>113</v>
      </c>
      <c r="F39" s="1" t="s">
        <v>114</v>
      </c>
      <c r="G39" s="1" t="s">
        <v>60</v>
      </c>
    </row>
    <row r="40" spans="1:7" x14ac:dyDescent="0.25">
      <c r="A40">
        <v>1013</v>
      </c>
      <c r="B40" s="1" t="s">
        <v>115</v>
      </c>
      <c r="C40" s="1" t="s">
        <v>116</v>
      </c>
      <c r="D40" s="1" t="s">
        <v>52</v>
      </c>
      <c r="E40" s="1" t="s">
        <v>117</v>
      </c>
      <c r="F40" s="1" t="s">
        <v>118</v>
      </c>
      <c r="G40" s="1" t="s">
        <v>55</v>
      </c>
    </row>
    <row r="42" spans="1:7" x14ac:dyDescent="0.25">
      <c r="A42" t="s">
        <v>43</v>
      </c>
      <c r="B42" t="s">
        <v>119</v>
      </c>
      <c r="C42" t="s">
        <v>46</v>
      </c>
      <c r="D42" t="s">
        <v>45</v>
      </c>
      <c r="E42" t="s">
        <v>120</v>
      </c>
    </row>
    <row r="43" spans="1:7" x14ac:dyDescent="0.25">
      <c r="A43">
        <v>6</v>
      </c>
      <c r="B43" s="1" t="s">
        <v>131</v>
      </c>
      <c r="C43" s="1" t="s">
        <v>52</v>
      </c>
      <c r="D43" s="1" t="s">
        <v>132</v>
      </c>
      <c r="E43">
        <v>4567890.0999999996</v>
      </c>
    </row>
    <row r="44" spans="1:7" x14ac:dyDescent="0.25">
      <c r="A44">
        <v>2</v>
      </c>
      <c r="B44" s="1" t="s">
        <v>123</v>
      </c>
      <c r="C44" s="1" t="s">
        <v>52</v>
      </c>
      <c r="D44" s="1" t="s">
        <v>124</v>
      </c>
      <c r="E44">
        <v>3189456.75</v>
      </c>
    </row>
    <row r="45" spans="1:7" x14ac:dyDescent="0.25">
      <c r="A45">
        <v>8</v>
      </c>
      <c r="B45" s="1" t="s">
        <v>135</v>
      </c>
      <c r="C45" s="1" t="s">
        <v>52</v>
      </c>
      <c r="D45" s="1" t="s">
        <v>136</v>
      </c>
      <c r="E45">
        <v>2987654.3</v>
      </c>
    </row>
    <row r="46" spans="1:7" x14ac:dyDescent="0.25">
      <c r="A46">
        <v>1</v>
      </c>
      <c r="B46" s="1" t="s">
        <v>121</v>
      </c>
      <c r="C46" s="1" t="s">
        <v>52</v>
      </c>
      <c r="D46" s="1" t="s">
        <v>122</v>
      </c>
      <c r="E46">
        <v>2456789.5</v>
      </c>
    </row>
    <row r="47" spans="1:7" x14ac:dyDescent="0.25">
      <c r="A47">
        <v>10</v>
      </c>
      <c r="B47" s="1" t="s">
        <v>140</v>
      </c>
      <c r="C47" s="1" t="s">
        <v>141</v>
      </c>
      <c r="D47" s="1" t="s">
        <v>142</v>
      </c>
      <c r="E47">
        <v>2234567</v>
      </c>
    </row>
    <row r="48" spans="1:7" x14ac:dyDescent="0.25">
      <c r="A48">
        <v>5</v>
      </c>
      <c r="B48" s="1" t="s">
        <v>129</v>
      </c>
      <c r="C48" s="1" t="s">
        <v>79</v>
      </c>
      <c r="D48" s="1" t="s">
        <v>130</v>
      </c>
      <c r="E48">
        <v>2098765.4</v>
      </c>
    </row>
    <row r="49" spans="1:5" x14ac:dyDescent="0.25">
      <c r="A49">
        <v>3</v>
      </c>
      <c r="B49" s="1" t="s">
        <v>125</v>
      </c>
      <c r="C49" s="1" t="s">
        <v>52</v>
      </c>
      <c r="D49" s="1" t="s">
        <v>126</v>
      </c>
      <c r="E49">
        <v>1876543.2</v>
      </c>
    </row>
    <row r="50" spans="1:5" x14ac:dyDescent="0.25">
      <c r="A50">
        <v>7</v>
      </c>
      <c r="B50" s="1" t="s">
        <v>133</v>
      </c>
      <c r="C50" s="1" t="s">
        <v>52</v>
      </c>
      <c r="D50" s="1" t="s">
        <v>134</v>
      </c>
      <c r="E50">
        <v>1765432.8</v>
      </c>
    </row>
    <row r="51" spans="1:5" x14ac:dyDescent="0.25">
      <c r="A51">
        <v>9</v>
      </c>
      <c r="B51" s="1" t="s">
        <v>137</v>
      </c>
      <c r="C51" s="1" t="s">
        <v>138</v>
      </c>
      <c r="D51" s="1" t="s">
        <v>139</v>
      </c>
      <c r="E51">
        <v>1654321.6</v>
      </c>
    </row>
    <row r="52" spans="1:5" x14ac:dyDescent="0.25">
      <c r="A52">
        <v>4</v>
      </c>
      <c r="B52" s="1" t="s">
        <v>127</v>
      </c>
      <c r="C52" s="1" t="s">
        <v>88</v>
      </c>
      <c r="D52" s="1" t="s">
        <v>128</v>
      </c>
      <c r="E52">
        <v>1345678.9</v>
      </c>
    </row>
  </sheetData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D4A21-C391-46D8-9FC5-63CCBB0C9A18}">
  <dimension ref="A3:E16"/>
  <sheetViews>
    <sheetView workbookViewId="0">
      <selection activeCell="I15" sqref="I15"/>
    </sheetView>
  </sheetViews>
  <sheetFormatPr baseColWidth="10" defaultRowHeight="15" x14ac:dyDescent="0.25"/>
  <cols>
    <col min="1" max="1" width="23.28515625" bestFit="1" customWidth="1"/>
    <col min="2" max="2" width="14.42578125" bestFit="1" customWidth="1"/>
    <col min="3" max="3" width="18.5703125" bestFit="1" customWidth="1"/>
    <col min="4" max="4" width="26.140625" bestFit="1" customWidth="1"/>
    <col min="5" max="5" width="14.42578125" bestFit="1" customWidth="1"/>
  </cols>
  <sheetData>
    <row r="3" spans="1:5" x14ac:dyDescent="0.25">
      <c r="A3" s="2" t="s">
        <v>11</v>
      </c>
      <c r="B3" t="s">
        <v>143</v>
      </c>
      <c r="C3" t="s">
        <v>148</v>
      </c>
      <c r="D3" t="s">
        <v>147</v>
      </c>
      <c r="E3" t="s">
        <v>149</v>
      </c>
    </row>
    <row r="4" spans="1:5" x14ac:dyDescent="0.25">
      <c r="A4" s="3" t="s">
        <v>32</v>
      </c>
      <c r="B4" s="1">
        <v>48000</v>
      </c>
      <c r="C4" s="1">
        <v>8</v>
      </c>
      <c r="D4" s="1">
        <v>1013</v>
      </c>
      <c r="E4" s="1">
        <v>1005</v>
      </c>
    </row>
    <row r="5" spans="1:5" x14ac:dyDescent="0.25">
      <c r="A5" s="3" t="s">
        <v>33</v>
      </c>
      <c r="B5" s="1">
        <v>32000</v>
      </c>
      <c r="C5" s="1">
        <v>6</v>
      </c>
      <c r="D5" s="1">
        <v>10</v>
      </c>
      <c r="E5" s="1">
        <v>10</v>
      </c>
    </row>
    <row r="6" spans="1:5" x14ac:dyDescent="0.25">
      <c r="A6" s="3" t="s">
        <v>35</v>
      </c>
      <c r="B6" s="1">
        <v>28500</v>
      </c>
      <c r="C6" s="1">
        <v>9</v>
      </c>
      <c r="D6" s="1">
        <v>1009</v>
      </c>
      <c r="E6" s="1">
        <v>1007</v>
      </c>
    </row>
    <row r="7" spans="1:5" x14ac:dyDescent="0.25">
      <c r="A7" s="3" t="s">
        <v>29</v>
      </c>
      <c r="B7" s="1">
        <v>19500</v>
      </c>
      <c r="C7" s="1">
        <v>8</v>
      </c>
      <c r="D7" s="1">
        <v>8</v>
      </c>
      <c r="E7" s="1">
        <v>8</v>
      </c>
    </row>
    <row r="8" spans="1:5" x14ac:dyDescent="0.25">
      <c r="A8" s="3" t="s">
        <v>30</v>
      </c>
      <c r="B8" s="1">
        <v>16800</v>
      </c>
      <c r="C8" s="1">
        <v>2</v>
      </c>
      <c r="D8" s="1">
        <v>5</v>
      </c>
      <c r="E8" s="1">
        <v>5</v>
      </c>
    </row>
    <row r="9" spans="1:5" x14ac:dyDescent="0.25">
      <c r="A9" s="3" t="s">
        <v>31</v>
      </c>
      <c r="B9" s="1">
        <v>16800</v>
      </c>
      <c r="C9" s="1">
        <v>10</v>
      </c>
      <c r="D9" s="1">
        <v>1011</v>
      </c>
      <c r="E9" s="1">
        <v>1009</v>
      </c>
    </row>
    <row r="10" spans="1:5" x14ac:dyDescent="0.25">
      <c r="A10" s="3" t="s">
        <v>34</v>
      </c>
      <c r="B10" s="1">
        <v>12400</v>
      </c>
      <c r="C10" s="1">
        <v>7</v>
      </c>
      <c r="D10" s="1">
        <v>9</v>
      </c>
      <c r="E10" s="1">
        <v>9</v>
      </c>
    </row>
    <row r="11" spans="1:5" x14ac:dyDescent="0.25">
      <c r="A11" s="3" t="s">
        <v>26</v>
      </c>
      <c r="B11" s="1">
        <v>11200</v>
      </c>
      <c r="C11" s="1">
        <v>9</v>
      </c>
      <c r="D11" s="1">
        <v>1010</v>
      </c>
      <c r="E11" s="1">
        <v>1008</v>
      </c>
    </row>
    <row r="12" spans="1:5" x14ac:dyDescent="0.25">
      <c r="A12" s="3" t="s">
        <v>36</v>
      </c>
      <c r="B12" s="1">
        <v>9900</v>
      </c>
      <c r="C12" s="1">
        <v>5</v>
      </c>
      <c r="D12" s="1">
        <v>7</v>
      </c>
      <c r="E12" s="1">
        <v>7</v>
      </c>
    </row>
    <row r="13" spans="1:5" x14ac:dyDescent="0.25">
      <c r="A13" s="3" t="s">
        <v>25</v>
      </c>
      <c r="B13" s="1">
        <v>9800</v>
      </c>
      <c r="C13" s="1">
        <v>8</v>
      </c>
      <c r="D13" s="1">
        <v>1008</v>
      </c>
      <c r="E13" s="1">
        <v>1006</v>
      </c>
    </row>
    <row r="14" spans="1:5" x14ac:dyDescent="0.25">
      <c r="A14" s="3" t="s">
        <v>27</v>
      </c>
      <c r="B14" s="1">
        <v>9500</v>
      </c>
      <c r="C14" s="1">
        <v>10</v>
      </c>
      <c r="D14" s="1">
        <v>1012</v>
      </c>
      <c r="E14" s="1">
        <v>1010</v>
      </c>
    </row>
    <row r="15" spans="1:5" x14ac:dyDescent="0.25">
      <c r="A15" s="3" t="s">
        <v>28</v>
      </c>
      <c r="B15" s="1">
        <v>9500</v>
      </c>
      <c r="C15" s="1">
        <v>4</v>
      </c>
      <c r="D15" s="1">
        <v>6</v>
      </c>
      <c r="E15" s="1">
        <v>6</v>
      </c>
    </row>
    <row r="16" spans="1:5" x14ac:dyDescent="0.25">
      <c r="A16" s="3" t="s">
        <v>24</v>
      </c>
      <c r="B16" s="1">
        <v>48000</v>
      </c>
      <c r="C16" s="1">
        <v>10</v>
      </c>
      <c r="D16" s="1">
        <v>1013</v>
      </c>
      <c r="E16" s="1">
        <v>1010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99FC1-D7EE-4250-A44B-8D26C526807E}">
  <dimension ref="A3:C14"/>
  <sheetViews>
    <sheetView topLeftCell="A2" workbookViewId="0">
      <selection activeCell="G10" sqref="G10"/>
    </sheetView>
  </sheetViews>
  <sheetFormatPr baseColWidth="10" defaultRowHeight="15" x14ac:dyDescent="0.25"/>
  <cols>
    <col min="1" max="1" width="23.28515625" bestFit="1" customWidth="1"/>
    <col min="2" max="2" width="10.7109375" bestFit="1" customWidth="1"/>
    <col min="3" max="3" width="31.85546875" bestFit="1" customWidth="1"/>
  </cols>
  <sheetData>
    <row r="3" spans="1:3" x14ac:dyDescent="0.25">
      <c r="A3" s="2" t="s">
        <v>11</v>
      </c>
      <c r="B3" t="s">
        <v>144</v>
      </c>
      <c r="C3" t="s">
        <v>145</v>
      </c>
    </row>
    <row r="4" spans="1:3" x14ac:dyDescent="0.25">
      <c r="A4" s="3" t="s">
        <v>131</v>
      </c>
      <c r="B4" s="1">
        <v>6</v>
      </c>
      <c r="C4" s="1">
        <v>4567890.0999999996</v>
      </c>
    </row>
    <row r="5" spans="1:3" x14ac:dyDescent="0.25">
      <c r="A5" s="3" t="s">
        <v>123</v>
      </c>
      <c r="B5" s="1">
        <v>2</v>
      </c>
      <c r="C5" s="1">
        <v>3189456.75</v>
      </c>
    </row>
    <row r="6" spans="1:3" x14ac:dyDescent="0.25">
      <c r="A6" s="3" t="s">
        <v>135</v>
      </c>
      <c r="B6" s="1">
        <v>8</v>
      </c>
      <c r="C6" s="1">
        <v>2987654.3</v>
      </c>
    </row>
    <row r="7" spans="1:3" x14ac:dyDescent="0.25">
      <c r="A7" s="3" t="s">
        <v>121</v>
      </c>
      <c r="B7" s="1">
        <v>1</v>
      </c>
      <c r="C7" s="1">
        <v>2456789.5</v>
      </c>
    </row>
    <row r="8" spans="1:3" x14ac:dyDescent="0.25">
      <c r="A8" s="3" t="s">
        <v>140</v>
      </c>
      <c r="B8" s="1">
        <v>10</v>
      </c>
      <c r="C8" s="1">
        <v>2234567</v>
      </c>
    </row>
    <row r="9" spans="1:3" x14ac:dyDescent="0.25">
      <c r="A9" s="3" t="s">
        <v>129</v>
      </c>
      <c r="B9" s="1">
        <v>5</v>
      </c>
      <c r="C9" s="1">
        <v>2098765.4</v>
      </c>
    </row>
    <row r="10" spans="1:3" x14ac:dyDescent="0.25">
      <c r="A10" s="3" t="s">
        <v>125</v>
      </c>
      <c r="B10" s="1">
        <v>3</v>
      </c>
      <c r="C10" s="1">
        <v>1876543.2</v>
      </c>
    </row>
    <row r="11" spans="1:3" x14ac:dyDescent="0.25">
      <c r="A11" s="3" t="s">
        <v>133</v>
      </c>
      <c r="B11" s="1">
        <v>7</v>
      </c>
      <c r="C11" s="1">
        <v>1765432.8</v>
      </c>
    </row>
    <row r="12" spans="1:3" x14ac:dyDescent="0.25">
      <c r="A12" s="3" t="s">
        <v>137</v>
      </c>
      <c r="B12" s="1">
        <v>9</v>
      </c>
      <c r="C12" s="1">
        <v>1654321.6</v>
      </c>
    </row>
    <row r="13" spans="1:3" x14ac:dyDescent="0.25">
      <c r="A13" s="3" t="s">
        <v>127</v>
      </c>
      <c r="B13" s="1">
        <v>4</v>
      </c>
      <c r="C13" s="1">
        <v>1345678.9</v>
      </c>
    </row>
    <row r="14" spans="1:3" x14ac:dyDescent="0.25">
      <c r="A14" s="3" t="s">
        <v>24</v>
      </c>
      <c r="B14" s="1">
        <v>55</v>
      </c>
      <c r="C14" s="1">
        <v>24177099.550000001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5EB6F-A270-475A-983D-70943FD33DBC}">
  <dimension ref="A3:C6"/>
  <sheetViews>
    <sheetView workbookViewId="0">
      <selection activeCell="F51" sqref="F51"/>
    </sheetView>
  </sheetViews>
  <sheetFormatPr baseColWidth="10" defaultRowHeight="15" x14ac:dyDescent="0.25"/>
  <cols>
    <col min="1" max="1" width="17.5703125" bestFit="1" customWidth="1"/>
    <col min="2" max="2" width="16.85546875" bestFit="1" customWidth="1"/>
    <col min="3" max="3" width="10.7109375" bestFit="1" customWidth="1"/>
  </cols>
  <sheetData>
    <row r="3" spans="1:3" x14ac:dyDescent="0.25">
      <c r="A3" s="2" t="s">
        <v>11</v>
      </c>
      <c r="B3" t="s">
        <v>146</v>
      </c>
      <c r="C3" t="s">
        <v>144</v>
      </c>
    </row>
    <row r="4" spans="1:3" x14ac:dyDescent="0.25">
      <c r="A4" s="3" t="s">
        <v>55</v>
      </c>
      <c r="B4" s="1">
        <v>8</v>
      </c>
      <c r="C4" s="1">
        <v>3058</v>
      </c>
    </row>
    <row r="5" spans="1:3" x14ac:dyDescent="0.25">
      <c r="A5" s="3" t="s">
        <v>60</v>
      </c>
      <c r="B5" s="1">
        <v>8</v>
      </c>
      <c r="C5" s="1">
        <v>3060</v>
      </c>
    </row>
    <row r="6" spans="1:3" x14ac:dyDescent="0.25">
      <c r="A6" s="3" t="s">
        <v>24</v>
      </c>
      <c r="B6" s="1">
        <v>16</v>
      </c>
      <c r="C6" s="1">
        <v>6118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C561C0-ADC8-4EA8-837D-C14EBF85CD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HOLAMUNDO_SQLEXPRESS_ datos gen</vt:lpstr>
      <vt:lpstr>Salarios</vt:lpstr>
      <vt:lpstr>Ganancias o ventas</vt:lpstr>
      <vt:lpstr>Genero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Ochoa</dc:creator>
  <cp:lastModifiedBy>Edgar Ochoa</cp:lastModifiedBy>
  <dcterms:created xsi:type="dcterms:W3CDTF">2026-01-30T07:31:33Z</dcterms:created>
  <dcterms:modified xsi:type="dcterms:W3CDTF">2026-02-01T08:06:20Z</dcterms:modified>
</cp:coreProperties>
</file>