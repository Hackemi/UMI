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\Desktop\"/>
    </mc:Choice>
  </mc:AlternateContent>
  <xr:revisionPtr revIDLastSave="0" documentId="13_ncr:1_{7E3FBA75-AA13-44FE-A58B-6B20CDF0B5B1}" xr6:coauthVersionLast="47" xr6:coauthVersionMax="47" xr10:uidLastSave="{00000000-0000-0000-0000-000000000000}"/>
  <bookViews>
    <workbookView xWindow="-108" yWindow="-108" windowWidth="23256" windowHeight="12456" xr2:uid="{406485ED-4E8E-4F4A-A7E1-C020390C15B8}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B19" i="2" s="1"/>
  <c r="B4" i="2"/>
  <c r="A5" i="2"/>
  <c r="B10" i="1"/>
  <c r="B11" i="1"/>
  <c r="B12" i="1"/>
  <c r="B13" i="1"/>
  <c r="B14" i="1"/>
  <c r="B15" i="1"/>
  <c r="B16" i="1"/>
  <c r="B17" i="1"/>
  <c r="B18" i="1" s="1"/>
  <c r="B9" i="1"/>
  <c r="D9" i="1" s="1"/>
  <c r="D13" i="1"/>
  <c r="D14" i="1"/>
  <c r="D15" i="1"/>
  <c r="C9" i="1"/>
  <c r="C10" i="1"/>
  <c r="C11" i="1"/>
  <c r="C16" i="1"/>
  <c r="C17" i="1"/>
  <c r="D10" i="1"/>
  <c r="D8" i="1"/>
  <c r="C8" i="1"/>
  <c r="B15" i="2" l="1"/>
  <c r="B18" i="2"/>
  <c r="B12" i="2"/>
  <c r="B13" i="2"/>
  <c r="B6" i="2"/>
  <c r="B14" i="2"/>
  <c r="B7" i="2"/>
  <c r="B8" i="2"/>
  <c r="B16" i="2"/>
  <c r="B9" i="2"/>
  <c r="B17" i="2"/>
  <c r="B10" i="2"/>
  <c r="B11" i="2"/>
  <c r="C18" i="1"/>
  <c r="B19" i="1"/>
  <c r="D12" i="1"/>
  <c r="C15" i="1"/>
  <c r="D18" i="1"/>
  <c r="C13" i="1"/>
  <c r="D17" i="1"/>
  <c r="D19" i="1"/>
  <c r="D11" i="1"/>
  <c r="C14" i="1"/>
  <c r="C12" i="1"/>
  <c r="D16" i="1"/>
  <c r="B20" i="1" l="1"/>
  <c r="C19" i="1"/>
  <c r="B21" i="1" l="1"/>
  <c r="D20" i="1"/>
  <c r="C20" i="1"/>
  <c r="B22" i="1" l="1"/>
  <c r="D21" i="1"/>
  <c r="C21" i="1"/>
  <c r="D22" i="1" l="1"/>
  <c r="B23" i="1"/>
  <c r="C22" i="1"/>
  <c r="D23" i="1" l="1"/>
  <c r="B24" i="1"/>
  <c r="C23" i="1"/>
  <c r="B25" i="1" l="1"/>
  <c r="C24" i="1"/>
  <c r="D24" i="1"/>
  <c r="B26" i="1" l="1"/>
  <c r="C25" i="1"/>
  <c r="D25" i="1"/>
  <c r="B27" i="1" l="1"/>
  <c r="C26" i="1"/>
  <c r="D26" i="1"/>
  <c r="C27" i="1" l="1"/>
  <c r="D27" i="1"/>
</calcChain>
</file>

<file path=xl/sharedStrings.xml><?xml version="1.0" encoding="utf-8"?>
<sst xmlns="http://schemas.openxmlformats.org/spreadsheetml/2006/main" count="47" uniqueCount="45">
  <si>
    <t>Además, los costos de producción de un teclado son de 3.50 dólares.</t>
  </si>
  <si>
    <t>Si se vende cada uno en $8.50 dólares :</t>
  </si>
  <si>
    <t>a) Escribir la función de ganancia</t>
  </si>
  <si>
    <t xml:space="preserve">La empresa de teclados tiene un costo fijo de 700 dólares.   </t>
  </si>
  <si>
    <t xml:space="preserve"> b) ¿Cuántos teclados necesita vender para obtener una ganancia positiva?</t>
  </si>
  <si>
    <t>b= 700              Costo fijo</t>
  </si>
  <si>
    <t>Unidades</t>
  </si>
  <si>
    <t>Costos</t>
  </si>
  <si>
    <t>ingresos</t>
  </si>
  <si>
    <t xml:space="preserve">m= 3.50              Costo variable </t>
  </si>
  <si>
    <t>C(q)=3.50(q) + 700</t>
  </si>
  <si>
    <t>I(q)=8.50(q)</t>
  </si>
  <si>
    <t>B(q)=I(q)-C(q)          Beneficio</t>
  </si>
  <si>
    <t>B(q)=8.5(q)-(3.5(q) +700)</t>
  </si>
  <si>
    <t>Costo</t>
  </si>
  <si>
    <t>C(q)=mq+b</t>
  </si>
  <si>
    <t>Ingreso</t>
  </si>
  <si>
    <t>I(q)=pq</t>
  </si>
  <si>
    <t>Beneficio</t>
  </si>
  <si>
    <t>B(q)=8.5(q)-(3.5(q) -700)</t>
  </si>
  <si>
    <t>Punto de equilibrio</t>
  </si>
  <si>
    <t>PE=CF/(P-CV)</t>
  </si>
  <si>
    <t>700/8.50-3.50</t>
  </si>
  <si>
    <t xml:space="preserve">P(q)= 8.50         Costo final </t>
  </si>
  <si>
    <t>PE=700/5</t>
  </si>
  <si>
    <t>m</t>
  </si>
  <si>
    <t>b</t>
  </si>
  <si>
    <t>p</t>
  </si>
  <si>
    <t>X</t>
  </si>
  <si>
    <t>gx=-x^2+12x+15</t>
  </si>
  <si>
    <t>dolares</t>
  </si>
  <si>
    <t>x= precio por unidad</t>
  </si>
  <si>
    <t>Inciso A</t>
  </si>
  <si>
    <t>Inciso B</t>
  </si>
  <si>
    <t>Inciso C</t>
  </si>
  <si>
    <t>Inciso D</t>
  </si>
  <si>
    <t>X=-b/2a</t>
  </si>
  <si>
    <t>X=(-12)/2(-1)</t>
  </si>
  <si>
    <t>X=-12/-2</t>
  </si>
  <si>
    <t>X=6</t>
  </si>
  <si>
    <t>y</t>
  </si>
  <si>
    <t>B(q)=5(q) -700                                                       Inciso A</t>
  </si>
  <si>
    <t>PE=140                                                                       Inciso B</t>
  </si>
  <si>
    <t>141 teclados vendidos para obtener ganancia</t>
  </si>
  <si>
    <t xml:space="preserve">q=                        Unidades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</si>
</sst>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'Ejercicio 1'!$C$7</c:f>
              <c:strCache>
                <c:ptCount val="1"/>
                <c:pt idx="0">
                  <c:v>Costos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 1'!$B$8:$B$27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</c:numCache>
            </c:numRef>
          </c:xVal>
          <c:yVal>
            <c:numRef>
              <c:f>'Ejercicio 1'!$C$8:$C$27</c:f>
              <c:numCache>
                <c:formatCode>General</c:formatCode>
                <c:ptCount val="20"/>
                <c:pt idx="0">
                  <c:v>700</c:v>
                </c:pt>
                <c:pt idx="1">
                  <c:v>735</c:v>
                </c:pt>
                <c:pt idx="2">
                  <c:v>770</c:v>
                </c:pt>
                <c:pt idx="3">
                  <c:v>805</c:v>
                </c:pt>
                <c:pt idx="4">
                  <c:v>840</c:v>
                </c:pt>
                <c:pt idx="5">
                  <c:v>875</c:v>
                </c:pt>
                <c:pt idx="6">
                  <c:v>910</c:v>
                </c:pt>
                <c:pt idx="7">
                  <c:v>945</c:v>
                </c:pt>
                <c:pt idx="8">
                  <c:v>980</c:v>
                </c:pt>
                <c:pt idx="9">
                  <c:v>1015</c:v>
                </c:pt>
                <c:pt idx="10">
                  <c:v>1050</c:v>
                </c:pt>
                <c:pt idx="11">
                  <c:v>1085</c:v>
                </c:pt>
                <c:pt idx="12">
                  <c:v>1120</c:v>
                </c:pt>
                <c:pt idx="13">
                  <c:v>1155</c:v>
                </c:pt>
                <c:pt idx="14">
                  <c:v>1190</c:v>
                </c:pt>
                <c:pt idx="15">
                  <c:v>1225</c:v>
                </c:pt>
                <c:pt idx="16">
                  <c:v>1260</c:v>
                </c:pt>
                <c:pt idx="17">
                  <c:v>1295</c:v>
                </c:pt>
                <c:pt idx="18">
                  <c:v>1330</c:v>
                </c:pt>
                <c:pt idx="19">
                  <c:v>1365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31-4A93-96F4-D72C93A2ED40}"/>
            </c:ext>
          </c:extLst>
        </c:ser>
        <c:ser>
          <c:idx val="1"/>
          <c:order val="1"/>
          <c:tx>
            <c:strRef>
              <c:f>'Ejercicio 1'!$D$7</c:f>
              <c:strCache>
                <c:ptCount val="1"/>
                <c:pt idx="0">
                  <c:v>ingresos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'Ejercicio 1'!$B$8:$B$27</c:f>
              <c:numCache>
                <c:formatCode>General</c:formatCode>
                <c:ptCount val="2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</c:numCache>
            </c:numRef>
          </c:xVal>
          <c:yVal>
            <c:numRef>
              <c:f>'Ejercicio 1'!$D$8:$D$27</c:f>
              <c:numCache>
                <c:formatCode>General</c:formatCode>
                <c:ptCount val="20"/>
                <c:pt idx="0">
                  <c:v>0</c:v>
                </c:pt>
                <c:pt idx="1">
                  <c:v>85</c:v>
                </c:pt>
                <c:pt idx="2">
                  <c:v>170</c:v>
                </c:pt>
                <c:pt idx="3">
                  <c:v>255</c:v>
                </c:pt>
                <c:pt idx="4">
                  <c:v>340</c:v>
                </c:pt>
                <c:pt idx="5">
                  <c:v>425</c:v>
                </c:pt>
                <c:pt idx="6">
                  <c:v>510</c:v>
                </c:pt>
                <c:pt idx="7">
                  <c:v>595</c:v>
                </c:pt>
                <c:pt idx="8">
                  <c:v>680</c:v>
                </c:pt>
                <c:pt idx="9">
                  <c:v>765</c:v>
                </c:pt>
                <c:pt idx="10">
                  <c:v>850</c:v>
                </c:pt>
                <c:pt idx="11">
                  <c:v>935</c:v>
                </c:pt>
                <c:pt idx="12">
                  <c:v>1020</c:v>
                </c:pt>
                <c:pt idx="13">
                  <c:v>1105</c:v>
                </c:pt>
                <c:pt idx="14">
                  <c:v>1190</c:v>
                </c:pt>
                <c:pt idx="15">
                  <c:v>1275</c:v>
                </c:pt>
                <c:pt idx="16">
                  <c:v>1360</c:v>
                </c:pt>
                <c:pt idx="17">
                  <c:v>1445</c:v>
                </c:pt>
                <c:pt idx="18">
                  <c:v>1530</c:v>
                </c:pt>
                <c:pt idx="19">
                  <c:v>1615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31-4A93-96F4-D72C93A2E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059967"/>
        <c:axId val="528058527"/>
      </c:scatterChart>
      <c:valAx>
        <c:axId val="52805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528058527"/>
        <c:crosses val="autoZero"/>
        <c:crossBetween val="midCat"/>
        <c:majorUnit val="10"/>
      </c:valAx>
      <c:valAx>
        <c:axId val="5280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52805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75615302657637"/>
          <c:y val="3.3086702792830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 2'!$A$4:$A$19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'Ejercicio 2'!$B$4:$B$19</c:f>
              <c:numCache>
                <c:formatCode>General</c:formatCode>
                <c:ptCount val="16"/>
                <c:pt idx="0">
                  <c:v>15</c:v>
                </c:pt>
                <c:pt idx="1">
                  <c:v>26</c:v>
                </c:pt>
                <c:pt idx="2">
                  <c:v>35</c:v>
                </c:pt>
                <c:pt idx="3">
                  <c:v>42</c:v>
                </c:pt>
                <c:pt idx="4">
                  <c:v>47</c:v>
                </c:pt>
                <c:pt idx="5">
                  <c:v>50</c:v>
                </c:pt>
                <c:pt idx="6">
                  <c:v>51</c:v>
                </c:pt>
                <c:pt idx="7">
                  <c:v>50</c:v>
                </c:pt>
                <c:pt idx="8">
                  <c:v>47</c:v>
                </c:pt>
                <c:pt idx="9">
                  <c:v>42</c:v>
                </c:pt>
                <c:pt idx="10">
                  <c:v>35</c:v>
                </c:pt>
                <c:pt idx="11">
                  <c:v>26</c:v>
                </c:pt>
                <c:pt idx="12">
                  <c:v>15</c:v>
                </c:pt>
                <c:pt idx="13">
                  <c:v>2</c:v>
                </c:pt>
                <c:pt idx="14">
                  <c:v>-13</c:v>
                </c:pt>
                <c:pt idx="15">
                  <c:v>-30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D6-484B-9F5C-B60F31907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83167"/>
        <c:axId val="528059967"/>
      </c:scatterChart>
      <c:valAx>
        <c:axId val="52608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528059967"/>
        <c:crosses val="autoZero"/>
        <c:crossBetween val="midCat"/>
      </c:valAx>
      <c:valAx>
        <c:axId val="52805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526083167"/>
        <c:crosses val="autoZero"/>
        <c:crossBetween val="midCat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184497</xdr:colOff>
      <xdr:row>2</xdr:row>
      <xdr:rowOff>9525</xdr:rowOff>
    </xdr:from>
    <xdr:to>
      <xdr:col>10</xdr:col>
      <xdr:colOff>6290</xdr:colOff>
      <xdr:row>17</xdr:row>
      <xdr:rowOff>87194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B57397-9DB3-55E5-1F08-902BA1EA1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1134644</xdr:colOff>
      <xdr:row>0</xdr:row>
      <xdr:rowOff>9711</xdr:rowOff>
    </xdr:from>
    <xdr:to>
      <xdr:col>7</xdr:col>
      <xdr:colOff>3749</xdr:colOff>
      <xdr:row>5</xdr:row>
      <xdr:rowOff>125896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96E7A7-CC0F-A15B-8B1B-95006914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8574" y="9711"/>
          <a:ext cx="2407436" cy="1043837"/>
        </a:xfrm>
        <a:prstGeom prst="rect">
          <a:avLst/>
        </a:prstGeom>
      </xdr:spPr>
    </xdr:pic>
    <xdr:clientData/>
  </xdr:twoCellAnchor>
  <xdr:twoCellAnchor>
    <xdr:from>
      <xdr:col>3</xdr:col>
      <xdr:colOff>187302</xdr:colOff>
      <xdr:row>7</xdr:row>
      <xdr:rowOff>36172</xdr:rowOff>
    </xdr:from>
    <xdr:to>
      <xdr:col>10</xdr:col>
      <xdr:colOff>63409</xdr:colOff>
      <xdr:row>25</xdr:row>
      <xdr:rowOff>157764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1DEB2-F019-0EF0-50A4-BFE3FE906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FD83-0705-459D-9F42-03C62103B870}">
  <dimension ref="A1:D31"/>
  <sheetViews>
    <sheetView tabSelected="1" topLeftCell="A4" zoomScale="85" zoomScaleNormal="85" workbookViewId="0">
      <selection activeCell="A17" sqref="A17"/>
    </sheetView>
  </sheetViews>
  <sheetFormatPr baseColWidth="10" defaultRowHeight="14.4" x14ac:dyDescent="0.3"/>
  <cols>
    <col min="1" max="1" width="60.5546875" customWidth="1"/>
  </cols>
  <sheetData>
    <row r="1" spans="1:4" x14ac:dyDescent="0.3">
      <c r="A1" t="s">
        <v>3</v>
      </c>
      <c r="B1" t="s">
        <v>25</v>
      </c>
      <c r="C1">
        <v>3.5</v>
      </c>
      <c r="D1" t="s">
        <v>30</v>
      </c>
    </row>
    <row r="2" spans="1:4" x14ac:dyDescent="0.3">
      <c r="A2" t="s">
        <v>0</v>
      </c>
      <c r="B2" t="s">
        <v>26</v>
      </c>
      <c r="C2">
        <v>700</v>
      </c>
      <c r="D2" t="s">
        <v>30</v>
      </c>
    </row>
    <row r="3" spans="1:4" x14ac:dyDescent="0.3">
      <c r="A3" t="s">
        <v>1</v>
      </c>
      <c r="B3" t="s">
        <v>27</v>
      </c>
      <c r="C3">
        <v>8.5</v>
      </c>
      <c r="D3" t="s">
        <v>30</v>
      </c>
    </row>
    <row r="4" spans="1:4" x14ac:dyDescent="0.3">
      <c r="A4" t="s">
        <v>2</v>
      </c>
    </row>
    <row r="5" spans="1:4" x14ac:dyDescent="0.3">
      <c r="A5" t="s">
        <v>4</v>
      </c>
    </row>
    <row r="7" spans="1:4" x14ac:dyDescent="0.3">
      <c r="A7" s="4" t="s">
        <v>14</v>
      </c>
      <c r="B7" s="1" t="s">
        <v>6</v>
      </c>
      <c r="C7" s="2" t="s">
        <v>7</v>
      </c>
      <c r="D7" s="2" t="s">
        <v>8</v>
      </c>
    </row>
    <row r="8" spans="1:4" x14ac:dyDescent="0.3">
      <c r="A8" t="s">
        <v>15</v>
      </c>
      <c r="B8" s="3">
        <v>0</v>
      </c>
      <c r="C8" s="3">
        <f>$C$1*B8+$C$2</f>
        <v>700</v>
      </c>
      <c r="D8" s="3">
        <f>+$C$3*B8</f>
        <v>0</v>
      </c>
    </row>
    <row r="9" spans="1:4" x14ac:dyDescent="0.3">
      <c r="A9" t="s">
        <v>10</v>
      </c>
      <c r="B9" s="3">
        <f>+B8+10</f>
        <v>10</v>
      </c>
      <c r="C9" s="3">
        <f t="shared" ref="C9:C27" si="0">$C$1*B9+$C$2</f>
        <v>735</v>
      </c>
      <c r="D9" s="3">
        <f t="shared" ref="D9:D27" si="1">+$C$3*B9</f>
        <v>85</v>
      </c>
    </row>
    <row r="10" spans="1:4" x14ac:dyDescent="0.3">
      <c r="B10" s="3">
        <f t="shared" ref="B10:B27" si="2">+B9+10</f>
        <v>20</v>
      </c>
      <c r="C10" s="3">
        <f t="shared" si="0"/>
        <v>770</v>
      </c>
      <c r="D10" s="3">
        <f t="shared" si="1"/>
        <v>170</v>
      </c>
    </row>
    <row r="11" spans="1:4" x14ac:dyDescent="0.3">
      <c r="A11" t="s">
        <v>9</v>
      </c>
      <c r="B11" s="3">
        <f t="shared" si="2"/>
        <v>30</v>
      </c>
      <c r="C11" s="3">
        <f t="shared" si="0"/>
        <v>805</v>
      </c>
      <c r="D11" s="3">
        <f t="shared" si="1"/>
        <v>255</v>
      </c>
    </row>
    <row r="12" spans="1:4" x14ac:dyDescent="0.3">
      <c r="A12" t="s">
        <v>44</v>
      </c>
      <c r="B12" s="3">
        <f t="shared" si="2"/>
        <v>40</v>
      </c>
      <c r="C12" s="3">
        <f t="shared" si="0"/>
        <v>840</v>
      </c>
      <c r="D12" s="3">
        <f t="shared" si="1"/>
        <v>340</v>
      </c>
    </row>
    <row r="13" spans="1:4" x14ac:dyDescent="0.3">
      <c r="A13" t="s">
        <v>5</v>
      </c>
      <c r="B13" s="3">
        <f t="shared" si="2"/>
        <v>50</v>
      </c>
      <c r="C13" s="3">
        <f t="shared" si="0"/>
        <v>875</v>
      </c>
      <c r="D13" s="3">
        <f t="shared" si="1"/>
        <v>425</v>
      </c>
    </row>
    <row r="14" spans="1:4" x14ac:dyDescent="0.3">
      <c r="A14" t="s">
        <v>23</v>
      </c>
      <c r="B14" s="3">
        <f t="shared" si="2"/>
        <v>60</v>
      </c>
      <c r="C14" s="3">
        <f t="shared" si="0"/>
        <v>910</v>
      </c>
      <c r="D14" s="3">
        <f t="shared" si="1"/>
        <v>510</v>
      </c>
    </row>
    <row r="15" spans="1:4" x14ac:dyDescent="0.3">
      <c r="B15" s="3">
        <f t="shared" si="2"/>
        <v>70</v>
      </c>
      <c r="C15" s="3">
        <f t="shared" si="0"/>
        <v>945</v>
      </c>
      <c r="D15" s="3">
        <f t="shared" si="1"/>
        <v>595</v>
      </c>
    </row>
    <row r="16" spans="1:4" x14ac:dyDescent="0.3">
      <c r="A16" s="4" t="s">
        <v>16</v>
      </c>
      <c r="B16" s="3">
        <f t="shared" si="2"/>
        <v>80</v>
      </c>
      <c r="C16" s="3">
        <f t="shared" si="0"/>
        <v>980</v>
      </c>
      <c r="D16" s="3">
        <f t="shared" si="1"/>
        <v>680</v>
      </c>
    </row>
    <row r="17" spans="1:4" x14ac:dyDescent="0.3">
      <c r="A17" t="s">
        <v>17</v>
      </c>
      <c r="B17" s="3">
        <f t="shared" si="2"/>
        <v>90</v>
      </c>
      <c r="C17" s="3">
        <f t="shared" si="0"/>
        <v>1015</v>
      </c>
      <c r="D17" s="3">
        <f t="shared" si="1"/>
        <v>765</v>
      </c>
    </row>
    <row r="18" spans="1:4" x14ac:dyDescent="0.3">
      <c r="A18" s="4" t="s">
        <v>11</v>
      </c>
      <c r="B18" s="3">
        <f t="shared" si="2"/>
        <v>100</v>
      </c>
      <c r="C18" s="3">
        <f t="shared" si="0"/>
        <v>1050</v>
      </c>
      <c r="D18" s="3">
        <f t="shared" si="1"/>
        <v>850</v>
      </c>
    </row>
    <row r="19" spans="1:4" x14ac:dyDescent="0.3">
      <c r="B19" s="3">
        <f t="shared" si="2"/>
        <v>110</v>
      </c>
      <c r="C19" s="3">
        <f t="shared" si="0"/>
        <v>1085</v>
      </c>
      <c r="D19" s="3">
        <f t="shared" si="1"/>
        <v>935</v>
      </c>
    </row>
    <row r="20" spans="1:4" x14ac:dyDescent="0.3">
      <c r="A20" s="4" t="s">
        <v>18</v>
      </c>
      <c r="B20" s="3">
        <f t="shared" si="2"/>
        <v>120</v>
      </c>
      <c r="C20" s="3">
        <f t="shared" si="0"/>
        <v>1120</v>
      </c>
      <c r="D20" s="3">
        <f t="shared" si="1"/>
        <v>1020</v>
      </c>
    </row>
    <row r="21" spans="1:4" x14ac:dyDescent="0.3">
      <c r="A21" t="s">
        <v>12</v>
      </c>
      <c r="B21" s="3">
        <f t="shared" si="2"/>
        <v>130</v>
      </c>
      <c r="C21" s="3">
        <f t="shared" si="0"/>
        <v>1155</v>
      </c>
      <c r="D21" s="3">
        <f t="shared" si="1"/>
        <v>1105</v>
      </c>
    </row>
    <row r="22" spans="1:4" x14ac:dyDescent="0.3">
      <c r="A22" t="s">
        <v>13</v>
      </c>
      <c r="B22" s="3">
        <f t="shared" si="2"/>
        <v>140</v>
      </c>
      <c r="C22" s="3">
        <f t="shared" si="0"/>
        <v>1190</v>
      </c>
      <c r="D22" s="3">
        <f t="shared" si="1"/>
        <v>1190</v>
      </c>
    </row>
    <row r="23" spans="1:4" x14ac:dyDescent="0.3">
      <c r="A23" t="s">
        <v>19</v>
      </c>
      <c r="B23" s="3">
        <f t="shared" si="2"/>
        <v>150</v>
      </c>
      <c r="C23" s="3">
        <f t="shared" si="0"/>
        <v>1225</v>
      </c>
      <c r="D23" s="3">
        <f t="shared" si="1"/>
        <v>1275</v>
      </c>
    </row>
    <row r="24" spans="1:4" x14ac:dyDescent="0.3">
      <c r="A24" s="10" t="s">
        <v>41</v>
      </c>
      <c r="B24" s="3">
        <f t="shared" si="2"/>
        <v>160</v>
      </c>
      <c r="C24" s="3">
        <f t="shared" si="0"/>
        <v>1260</v>
      </c>
      <c r="D24" s="3">
        <f t="shared" si="1"/>
        <v>1360</v>
      </c>
    </row>
    <row r="25" spans="1:4" x14ac:dyDescent="0.3">
      <c r="B25" s="3">
        <f t="shared" si="2"/>
        <v>170</v>
      </c>
      <c r="C25" s="3">
        <f t="shared" si="0"/>
        <v>1295</v>
      </c>
      <c r="D25" s="3">
        <f t="shared" si="1"/>
        <v>1445</v>
      </c>
    </row>
    <row r="26" spans="1:4" x14ac:dyDescent="0.3">
      <c r="A26" s="4" t="s">
        <v>20</v>
      </c>
      <c r="B26" s="3">
        <f t="shared" si="2"/>
        <v>180</v>
      </c>
      <c r="C26" s="3">
        <f t="shared" si="0"/>
        <v>1330</v>
      </c>
      <c r="D26" s="3">
        <f t="shared" si="1"/>
        <v>1530</v>
      </c>
    </row>
    <row r="27" spans="1:4" x14ac:dyDescent="0.3">
      <c r="A27" t="s">
        <v>21</v>
      </c>
      <c r="B27" s="3">
        <f t="shared" si="2"/>
        <v>190</v>
      </c>
      <c r="C27" s="3">
        <f t="shared" si="0"/>
        <v>1365</v>
      </c>
      <c r="D27" s="3">
        <f t="shared" si="1"/>
        <v>1615</v>
      </c>
    </row>
    <row r="28" spans="1:4" x14ac:dyDescent="0.3">
      <c r="A28" t="s">
        <v>22</v>
      </c>
    </row>
    <row r="29" spans="1:4" x14ac:dyDescent="0.3">
      <c r="A29" t="s">
        <v>24</v>
      </c>
    </row>
    <row r="30" spans="1:4" x14ac:dyDescent="0.3">
      <c r="A30" s="10" t="s">
        <v>42</v>
      </c>
    </row>
    <row r="31" spans="1:4" x14ac:dyDescent="0.3">
      <c r="A31" t="s">
        <v>43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84B-912D-4A5F-A403-96F0BE0E9015}">
  <dimension ref="A1:F19"/>
  <sheetViews>
    <sheetView zoomScale="127" zoomScaleNormal="100" workbookViewId="0">
      <selection activeCell="C21" sqref="C21"/>
    </sheetView>
  </sheetViews>
  <sheetFormatPr baseColWidth="10" defaultRowHeight="14.4" x14ac:dyDescent="0.3"/>
  <cols>
    <col min="1" max="1" width="14.5546875" customWidth="1"/>
    <col min="2" max="2" width="14.44140625" customWidth="1"/>
    <col min="3" max="3" width="9.21875" customWidth="1"/>
    <col min="4" max="4" width="16.77734375" customWidth="1"/>
  </cols>
  <sheetData>
    <row r="1" spans="1:6" x14ac:dyDescent="0.3">
      <c r="A1" s="3"/>
      <c r="B1" s="5" t="s">
        <v>29</v>
      </c>
      <c r="D1" t="s">
        <v>31</v>
      </c>
    </row>
    <row r="2" spans="1:6" x14ac:dyDescent="0.3">
      <c r="A2" s="9" t="s">
        <v>32</v>
      </c>
      <c r="D2" t="s">
        <v>36</v>
      </c>
    </row>
    <row r="3" spans="1:6" x14ac:dyDescent="0.3">
      <c r="A3" s="6" t="s">
        <v>28</v>
      </c>
      <c r="B3" s="8" t="s">
        <v>40</v>
      </c>
      <c r="D3" t="s">
        <v>37</v>
      </c>
    </row>
    <row r="4" spans="1:6" x14ac:dyDescent="0.3">
      <c r="A4" s="3">
        <v>0</v>
      </c>
      <c r="B4" s="3">
        <f>-(A4^2)+12*(A4)+15</f>
        <v>15</v>
      </c>
      <c r="D4" t="s">
        <v>38</v>
      </c>
    </row>
    <row r="5" spans="1:6" x14ac:dyDescent="0.3">
      <c r="A5" s="3">
        <f>+A4+1</f>
        <v>1</v>
      </c>
      <c r="B5" s="3">
        <f t="shared" ref="B5:B19" si="0">-(A5^2)+12*(A5)+15</f>
        <v>26</v>
      </c>
      <c r="D5" t="s">
        <v>39</v>
      </c>
    </row>
    <row r="6" spans="1:6" x14ac:dyDescent="0.3">
      <c r="A6" s="3">
        <f t="shared" ref="A6:A19" si="1">+A5+1</f>
        <v>2</v>
      </c>
      <c r="B6" s="3">
        <f t="shared" si="0"/>
        <v>35</v>
      </c>
    </row>
    <row r="7" spans="1:6" x14ac:dyDescent="0.3">
      <c r="A7" s="3">
        <f t="shared" si="1"/>
        <v>3</v>
      </c>
      <c r="B7" s="3">
        <f t="shared" si="0"/>
        <v>42</v>
      </c>
      <c r="F7" s="9" t="s">
        <v>33</v>
      </c>
    </row>
    <row r="8" spans="1:6" x14ac:dyDescent="0.3">
      <c r="A8" s="3">
        <f t="shared" si="1"/>
        <v>4</v>
      </c>
      <c r="B8" s="3">
        <f t="shared" si="0"/>
        <v>47</v>
      </c>
    </row>
    <row r="9" spans="1:6" x14ac:dyDescent="0.3">
      <c r="A9" s="3">
        <f t="shared" si="1"/>
        <v>5</v>
      </c>
      <c r="B9" s="3">
        <f t="shared" si="0"/>
        <v>50</v>
      </c>
    </row>
    <row r="10" spans="1:6" x14ac:dyDescent="0.3">
      <c r="A10" s="7">
        <f t="shared" si="1"/>
        <v>6</v>
      </c>
      <c r="B10" s="7">
        <f t="shared" si="0"/>
        <v>51</v>
      </c>
      <c r="C10" s="9" t="s">
        <v>34</v>
      </c>
    </row>
    <row r="11" spans="1:6" x14ac:dyDescent="0.3">
      <c r="A11" s="3">
        <f t="shared" si="1"/>
        <v>7</v>
      </c>
      <c r="B11" s="3">
        <f t="shared" si="0"/>
        <v>50</v>
      </c>
    </row>
    <row r="12" spans="1:6" x14ac:dyDescent="0.3">
      <c r="A12" s="7">
        <f t="shared" si="1"/>
        <v>8</v>
      </c>
      <c r="B12" s="7">
        <f t="shared" si="0"/>
        <v>47</v>
      </c>
      <c r="C12" s="9" t="s">
        <v>35</v>
      </c>
    </row>
    <row r="13" spans="1:6" x14ac:dyDescent="0.3">
      <c r="A13" s="3">
        <f t="shared" si="1"/>
        <v>9</v>
      </c>
      <c r="B13" s="3">
        <f t="shared" si="0"/>
        <v>42</v>
      </c>
    </row>
    <row r="14" spans="1:6" x14ac:dyDescent="0.3">
      <c r="A14" s="3">
        <f t="shared" si="1"/>
        <v>10</v>
      </c>
      <c r="B14" s="3">
        <f t="shared" si="0"/>
        <v>35</v>
      </c>
    </row>
    <row r="15" spans="1:6" x14ac:dyDescent="0.3">
      <c r="A15" s="3">
        <f t="shared" si="1"/>
        <v>11</v>
      </c>
      <c r="B15" s="3">
        <f t="shared" si="0"/>
        <v>26</v>
      </c>
    </row>
    <row r="16" spans="1:6" x14ac:dyDescent="0.3">
      <c r="A16" s="3">
        <f t="shared" si="1"/>
        <v>12</v>
      </c>
      <c r="B16" s="3">
        <f t="shared" si="0"/>
        <v>15</v>
      </c>
    </row>
    <row r="17" spans="1:2" x14ac:dyDescent="0.3">
      <c r="A17" s="3">
        <f t="shared" si="1"/>
        <v>13</v>
      </c>
      <c r="B17" s="3">
        <f t="shared" si="0"/>
        <v>2</v>
      </c>
    </row>
    <row r="18" spans="1:2" x14ac:dyDescent="0.3">
      <c r="A18" s="3">
        <f t="shared" si="1"/>
        <v>14</v>
      </c>
      <c r="B18" s="3">
        <f t="shared" si="0"/>
        <v>-13</v>
      </c>
    </row>
    <row r="19" spans="1:2" x14ac:dyDescent="0.3">
      <c r="A19" s="3">
        <f t="shared" si="1"/>
        <v>15</v>
      </c>
      <c r="B19" s="3">
        <f t="shared" si="0"/>
        <v>-30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Akemi</dc:creator>
  <cp:lastModifiedBy>H Akemi</cp:lastModifiedBy>
  <dcterms:created xsi:type="dcterms:W3CDTF">2024-06-07T19:25:50Z</dcterms:created>
  <dcterms:modified xsi:type="dcterms:W3CDTF">2024-06-08T22:44:24Z</dcterms:modified>
</cp:coreProperties>
</file>