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edgar\Desktop\"/>
    </mc:Choice>
  </mc:AlternateContent>
  <xr:revisionPtr revIDLastSave="0" documentId="8_{1114BF46-BDBC-4B66-A178-CAE81D83CD04}" xr6:coauthVersionLast="47" xr6:coauthVersionMax="47" xr10:uidLastSave="{00000000-0000-0000-0000-000000000000}"/>
  <bookViews>
    <workbookView xWindow="-108" yWindow="-108" windowWidth="23256" windowHeight="13176" xr2:uid="{B793D4F2-255B-4CE2-B8E6-ECC9A3EFF428}"/>
  </bookViews>
  <sheets>
    <sheet name="Ejercicio 1" sheetId="1" r:id="rId1"/>
    <sheet name="Graficos 1" sheetId="4" r:id="rId2"/>
    <sheet name="Ejercicio 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B25" i="3"/>
  <c r="B23" i="3"/>
  <c r="B21" i="3"/>
  <c r="B19" i="3"/>
  <c r="G12" i="1"/>
  <c r="H12" i="1"/>
  <c r="H7" i="4"/>
  <c r="C17" i="3"/>
  <c r="D15" i="3"/>
  <c r="C15" i="3"/>
  <c r="G4" i="3"/>
  <c r="G5" i="3"/>
  <c r="G6" i="3"/>
  <c r="G7" i="3"/>
  <c r="G8" i="3"/>
  <c r="G9" i="3"/>
  <c r="G10" i="3"/>
  <c r="G15" i="3" s="1"/>
  <c r="G11" i="3"/>
  <c r="G12" i="3"/>
  <c r="G13" i="3"/>
  <c r="G14" i="3"/>
  <c r="G3" i="3"/>
  <c r="F4" i="3"/>
  <c r="F5" i="3"/>
  <c r="F15" i="3" s="1"/>
  <c r="F6" i="3"/>
  <c r="F7" i="3"/>
  <c r="F8" i="3"/>
  <c r="F9" i="3"/>
  <c r="F10" i="3"/>
  <c r="F11" i="3"/>
  <c r="F12" i="3"/>
  <c r="F13" i="3"/>
  <c r="F14" i="3"/>
  <c r="F3" i="3"/>
  <c r="E4" i="3"/>
  <c r="E5" i="3"/>
  <c r="E6" i="3"/>
  <c r="E7" i="3"/>
  <c r="E8" i="3"/>
  <c r="E15" i="3" s="1"/>
  <c r="E9" i="3"/>
  <c r="E10" i="3"/>
  <c r="E11" i="3"/>
  <c r="E12" i="3"/>
  <c r="E13" i="3"/>
  <c r="E14" i="3"/>
  <c r="E3" i="3"/>
</calcChain>
</file>

<file path=xl/sharedStrings.xml><?xml version="1.0" encoding="utf-8"?>
<sst xmlns="http://schemas.openxmlformats.org/spreadsheetml/2006/main" count="85" uniqueCount="77">
  <si>
    <t>Se requiere conocer la relación existente entre el número de empleados en las sucursales
y la cantidad de asesores disponibles en atención al cliente, en contraparte con el número
de quejas recibidas en cada sucursal.
Identificar si existe una relación entre estos factores con el fin de determinar si es necesario
contratar a más personal o reasignarlo en atención a clientes:</t>
  </si>
  <si>
    <t>Donde:
x= Personal por
sucursal/Asesores
y= Número de quejas</t>
  </si>
  <si>
    <t xml:space="preserve"> </t>
  </si>
  <si>
    <t xml:space="preserve">Código sucursal </t>
  </si>
  <si>
    <t>Número de
quejas</t>
  </si>
  <si>
    <t>Personal por sucursal
(vendedores,
productores…)</t>
  </si>
  <si>
    <t>Asesores activos en
atención a clientes
(mesa de servicio)</t>
  </si>
  <si>
    <t xml:space="preserve">01SucMexico </t>
  </si>
  <si>
    <t>02SucHidalgo</t>
  </si>
  <si>
    <t xml:space="preserve">03SucMérida </t>
  </si>
  <si>
    <t>04SucValladolid</t>
  </si>
  <si>
    <t>05SucVeracruz</t>
  </si>
  <si>
    <t>06SucMazatlán</t>
  </si>
  <si>
    <t>07SucGuadalajara</t>
  </si>
  <si>
    <t xml:space="preserve">08SucCampeche </t>
  </si>
  <si>
    <t xml:space="preserve">09SucMonterrey </t>
  </si>
  <si>
    <t>10SucChiapas</t>
  </si>
  <si>
    <t>a) Determinar la relación entre la variable personal por sucursal (x) y</t>
  </si>
  <si>
    <t>● Insertar un gráfico de dispersión que relaciona ambas variables. Este deberá mostrar:</t>
  </si>
  <si>
    <t>○ La línea de tendencia</t>
  </si>
  <si>
    <t>○ La función lineal</t>
  </si>
  <si>
    <t>○ La función del valor del coeficiente (r2)</t>
  </si>
  <si>
    <t>b) Utilizando las variables número de personal por sucursal, número de asesores en
atención a clientes y el número de quejas realizar lo siguiente:</t>
  </si>
  <si>
    <t>Calcular la regresión lineal general de las variables indicadas utilizando la
herramienta de análisis de datos de Excel.</t>
  </si>
  <si>
    <t>● Insertar el gráfico y los resultados en una hoja nueva.</t>
  </si>
  <si>
    <t>Se desea contrastar la relación de los gastos de producción con las ventas generadas. Por lo tanto, tenemos que:</t>
  </si>
  <si>
    <t>Gastos de producción</t>
  </si>
  <si>
    <t>Ventas totales</t>
  </si>
  <si>
    <t>Mes</t>
  </si>
  <si>
    <t>X</t>
  </si>
  <si>
    <t>Y</t>
  </si>
  <si>
    <t>X^2</t>
  </si>
  <si>
    <t xml:space="preserve">Y^2 </t>
  </si>
  <si>
    <t>X*Y</t>
  </si>
  <si>
    <t>Suma</t>
  </si>
  <si>
    <t>n</t>
  </si>
  <si>
    <t>a) Calcular el coeficiente de correlación lineal con la fórmula estándar, para esto es necesario completar la tabla.</t>
  </si>
  <si>
    <t>b) Calcular el coeficiente de determinación (coeficiente de correlación elevado al
cuadrado (r2)</t>
  </si>
  <si>
    <t>c) Insertar un gráfico de dispersión que relacione a ambas variables (x, y). En este, insertar:</t>
  </si>
  <si>
    <t>● La línea de tendencia</t>
  </si>
  <si>
    <t>● La función lineal</t>
  </si>
  <si>
    <t>● La función del valor del coeficiente (r2 )</t>
  </si>
  <si>
    <t>d) Indicar cuál es la ecuación de la recta de regresión. Para esto calcular:</t>
  </si>
  <si>
    <t>Formula en Excel: =INTERSECCION.EJE ( y, x)
Intersección con eje
Y a
Formula en Excel: =PENDIENTE(y,x)
Pendiente b</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</si>
  <si>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</si>
  <si>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</si>
  <si>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</si>
  <si>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</si>
  <si>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</si>
  <si>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</si>
  <si>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</si>
  <si>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</si>
  <si>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</si>
  <si>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</si>
  <si>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</si>
  <si>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</si>
  <si>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</si>
  <si>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</si>
  <si>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</si>
  <si>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</si>
  <si>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</si>
  <si>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</si>
  <si>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</si>
  <si>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</si>
  <si>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</si>
  <si>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</si>
  <si>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</si>
  <si>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</si>
  <si>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Resultados de datos de probabilidad</t>
  </si>
  <si>
    <t>Percentil</t>
  </si>
  <si>
    <t>5.46529760260306+0.176274672314825</t>
  </si>
  <si>
    <t>#empleados</t>
  </si>
  <si>
    <t>coeficiente</t>
  </si>
  <si>
    <t>r^2</t>
  </si>
  <si>
    <t>interseccion</t>
  </si>
  <si>
    <t>pendiente</t>
  </si>
  <si>
    <t>Recta de regresion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</si>
</sst>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2">
    <font>
      <sz val="11"/>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1" fillId="0" borderId="3" xfId="0" applyFont="1" applyBorder="1" applyAlignment="1">
      <alignment horizontal="center"/>
    </xf>
    <xf numFmtId="0" fontId="1" fillId="0" borderId="3" xfId="0" applyFont="1" applyBorder="1" applyAlignment="1">
      <alignment horizontal="centerContinuous"/>
    </xf>
    <xf numFmtId="0" fontId="0" fillId="0" borderId="2" xfId="0" applyBorder="1" applyAlignment="1">
      <alignment wrapText="1"/>
    </xf>
    <xf numFmtId="0" fontId="1" fillId="0" borderId="3" xfId="0" applyFont="1" applyBorder="1" applyAlignment="1">
      <alignment horizontal="center" wrapText="1"/>
    </xf>
    <xf numFmtId="0" fontId="0" fillId="2" borderId="0" xfId="0" applyFill="1"/>
    <xf numFmtId="0" fontId="0" fillId="3" borderId="0" xfId="0" applyFill="1" applyAlignment="1">
      <alignment wrapText="1"/>
    </xf>
    <xf numFmtId="169" fontId="0" fillId="3" borderId="0" xfId="0" applyNumberFormat="1" applyFill="1"/>
    <xf numFmtId="169" fontId="0" fillId="2" borderId="0" xfId="0" applyNumberFormat="1" applyFill="1"/>
    <xf numFmtId="0" fontId="0" fillId="4" borderId="0" xfId="0" applyFill="1"/>
    <xf numFmtId="0" fontId="0" fillId="4" borderId="0" xfId="0" applyFill="1" applyAlignment="1">
      <alignment wrapTex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608819191726423"/>
          <c:y val="3.8775530677376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'Ejercicio 1'!$H$1</c:f>
              <c:strCache>
                <c:ptCount val="1"/>
                <c:pt idx="0">
                  <c:v>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293634759668358"/>
                  <c:y val="-0.3412543295344363"/>
                </c:manualLayout>
              </c:layout>
              <c:numFmt formatCode="General" sourceLinked="0"/>
              <c:spPr>
                <a:solidFill>
                  <a:srgbClr val="FFFF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trendlineLbl>
          </c:trendline>
          <c:xVal>
            <c:numRef>
              <c:f>'Ejercicio 1'!$G$2:$G$11</c:f>
              <c:numCache>
                <c:formatCode>General</c:formatCode>
                <c:ptCount val="10"/>
                <c:pt idx="0">
                  <c:v>12</c:v>
                </c:pt>
                <c:pt idx="1">
                  <c:v>14</c:v>
                </c:pt>
                <c:pt idx="2">
                  <c:v>16</c:v>
                </c:pt>
                <c:pt idx="3">
                  <c:v>11</c:v>
                </c:pt>
                <c:pt idx="4">
                  <c:v>12</c:v>
                </c:pt>
                <c:pt idx="5">
                  <c:v>16</c:v>
                </c:pt>
                <c:pt idx="6">
                  <c:v>16</c:v>
                </c:pt>
                <c:pt idx="7">
                  <c:v>8</c:v>
                </c:pt>
                <c:pt idx="8">
                  <c:v>16</c:v>
                </c:pt>
                <c:pt idx="9">
                  <c:v>18</c:v>
                </c:pt>
              </c:numCache>
            </c:numRef>
          </c:xVal>
          <c:yVal>
            <c:numRef>
              <c:f>'Ejercicio 1'!$H$2:$H$11</c:f>
              <c:numCache>
                <c:formatCode>General</c:formatCode>
                <c:ptCount val="10"/>
                <c:pt idx="0">
                  <c:v>72</c:v>
                </c:pt>
                <c:pt idx="1">
                  <c:v>241</c:v>
                </c:pt>
                <c:pt idx="2">
                  <c:v>310</c:v>
                </c:pt>
                <c:pt idx="3">
                  <c:v>50</c:v>
                </c:pt>
                <c:pt idx="4">
                  <c:v>250</c:v>
                </c:pt>
                <c:pt idx="5">
                  <c:v>250</c:v>
                </c:pt>
                <c:pt idx="6">
                  <c:v>259</c:v>
                </c:pt>
                <c:pt idx="7">
                  <c:v>302</c:v>
                </c:pt>
                <c:pt idx="8">
                  <c:v>247</c:v>
                </c:pt>
                <c:pt idx="9">
                  <c:v>180</c:v>
                </c:pt>
              </c:numCache>
            </c:numRef>
          </c:yVal>
          <c:smooth val="0"/>
          <c:extLst>
            <c:ext xmlns:c16="http://schemas.microsoft.com/office/drawing/2014/chart" uri="{C3380CC4-5D6E-409C-BE32-E72D297353CC}">
              <c16:uniqueId val="{00000000-3DCE-495F-9760-D316678E1DAF}"/>
            </c:ext>
          </c:extLst>
        </c:ser>
        <c:dLbls>
          <c:showLegendKey val="0"/>
          <c:showVal val="0"/>
          <c:showCatName val="0"/>
          <c:showSerName val="0"/>
          <c:showPercent val="0"/>
          <c:showBubbleSize val="0"/>
        </c:dLbls>
        <c:axId val="1158501151"/>
        <c:axId val="1158503071"/>
      </c:scatterChart>
      <c:valAx>
        <c:axId val="1158501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58503071"/>
        <c:crosses val="autoZero"/>
        <c:crossBetween val="midCat"/>
      </c:valAx>
      <c:valAx>
        <c:axId val="115850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58501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US"/>
              <a:t>Gráfico de probabilidad normal</a:t>
            </a:r>
          </a:p>
        </c:rich>
      </c:tx>
      <c:overlay val="0"/>
    </c:title>
    <c:autoTitleDeleted val="0"/>
    <c:plotArea>
      <c:layout/>
      <c:scatterChart>
        <c:scatterStyle val="lineMarker"/>
        <c:varyColors val="0"/>
        <c:ser>
          <c:idx val="0"/>
          <c:order val="0"/>
          <c:spPr>
            <a:ln w="38100">
              <a:noFill/>
            </a:ln>
          </c:spPr>
          <c:trendline>
            <c:trendlineType val="linear"/>
            <c:dispRSqr val="0"/>
            <c:dispEq val="0"/>
          </c:trendline>
          <c:xVal>
            <c:numRef>
              <c:f>'Graficos 1'!$A$26:$A$35</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'Graficos 1'!$B$26:$B$35</c:f>
              <c:numCache>
                <c:formatCode>General</c:formatCode>
                <c:ptCount val="10"/>
                <c:pt idx="0">
                  <c:v>50</c:v>
                </c:pt>
                <c:pt idx="1">
                  <c:v>72</c:v>
                </c:pt>
                <c:pt idx="2">
                  <c:v>180</c:v>
                </c:pt>
                <c:pt idx="3">
                  <c:v>241</c:v>
                </c:pt>
                <c:pt idx="4">
                  <c:v>247</c:v>
                </c:pt>
                <c:pt idx="5">
                  <c:v>250</c:v>
                </c:pt>
                <c:pt idx="6">
                  <c:v>250</c:v>
                </c:pt>
                <c:pt idx="7">
                  <c:v>259</c:v>
                </c:pt>
                <c:pt idx="8">
                  <c:v>302</c:v>
                </c:pt>
                <c:pt idx="9">
                  <c:v>310</c:v>
                </c:pt>
              </c:numCache>
            </c:numRef>
          </c:yVal>
          <c:smooth val="0"/>
          <c:extLst>
            <c:ext xmlns:c16="http://schemas.microsoft.com/office/drawing/2014/chart" uri="{C3380CC4-5D6E-409C-BE32-E72D297353CC}">
              <c16:uniqueId val="{00000001-4165-4C6F-A475-55DF96038214}"/>
            </c:ext>
          </c:extLst>
        </c:ser>
        <c:dLbls>
          <c:showLegendKey val="0"/>
          <c:showVal val="0"/>
          <c:showCatName val="0"/>
          <c:showSerName val="0"/>
          <c:showPercent val="0"/>
          <c:showBubbleSize val="0"/>
        </c:dLbls>
        <c:axId val="1457491632"/>
        <c:axId val="1457492112"/>
      </c:scatterChart>
      <c:valAx>
        <c:axId val="1457491632"/>
        <c:scaling>
          <c:orientation val="minMax"/>
        </c:scaling>
        <c:delete val="0"/>
        <c:axPos val="b"/>
        <c:title>
          <c:tx>
            <c:rich>
              <a:bodyPr/>
              <a:lstStyle/>
              <a:p>
                <a:pPr>
                  <a:defRPr/>
                </a:pPr>
                <a:r>
                  <a:rPr lang="es-US"/>
                  <a:t>Muestra percentil</a:t>
                </a:r>
              </a:p>
            </c:rich>
          </c:tx>
          <c:overlay val="0"/>
        </c:title>
        <c:numFmt formatCode="General" sourceLinked="1"/>
        <c:majorTickMark val="out"/>
        <c:minorTickMark val="none"/>
        <c:tickLblPos val="nextTo"/>
        <c:crossAx val="1457492112"/>
        <c:crosses val="autoZero"/>
        <c:crossBetween val="midCat"/>
      </c:valAx>
      <c:valAx>
        <c:axId val="1457492112"/>
        <c:scaling>
          <c:orientation val="minMax"/>
        </c:scaling>
        <c:delete val="0"/>
        <c:axPos val="l"/>
        <c:title>
          <c:tx>
            <c:rich>
              <a:bodyPr/>
              <a:lstStyle/>
              <a:p>
                <a:pPr>
                  <a:defRPr/>
                </a:pPr>
                <a:r>
                  <a:rPr lang="es-US"/>
                  <a:t>Número de
quejas</a:t>
                </a:r>
              </a:p>
            </c:rich>
          </c:tx>
          <c:overlay val="0"/>
        </c:title>
        <c:numFmt formatCode="General" sourceLinked="1"/>
        <c:majorTickMark val="out"/>
        <c:minorTickMark val="none"/>
        <c:tickLblPos val="nextTo"/>
        <c:crossAx val="14574916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3110507317744335E-2"/>
                  <c:y val="-0.2416832241471292"/>
                </c:manualLayout>
              </c:layout>
              <c:numFmt formatCode="General" sourceLinked="0"/>
              <c:spPr>
                <a:solidFill>
                  <a:srgbClr val="FFFF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trendlineLbl>
          </c:trendline>
          <c:xVal>
            <c:numRef>
              <c:f>'Ejercicio 2'!$C$3:$C$14</c:f>
              <c:numCache>
                <c:formatCode>General</c:formatCode>
                <c:ptCount val="12"/>
                <c:pt idx="0">
                  <c:v>1200</c:v>
                </c:pt>
                <c:pt idx="1">
                  <c:v>1300</c:v>
                </c:pt>
                <c:pt idx="2">
                  <c:v>1450</c:v>
                </c:pt>
                <c:pt idx="3">
                  <c:v>1600</c:v>
                </c:pt>
                <c:pt idx="4">
                  <c:v>2000</c:v>
                </c:pt>
                <c:pt idx="5">
                  <c:v>2450</c:v>
                </c:pt>
                <c:pt idx="6">
                  <c:v>3100</c:v>
                </c:pt>
                <c:pt idx="7">
                  <c:v>1200</c:v>
                </c:pt>
                <c:pt idx="8">
                  <c:v>1900</c:v>
                </c:pt>
                <c:pt idx="9">
                  <c:v>2500</c:v>
                </c:pt>
                <c:pt idx="10">
                  <c:v>3000</c:v>
                </c:pt>
                <c:pt idx="11">
                  <c:v>4000</c:v>
                </c:pt>
              </c:numCache>
            </c:numRef>
          </c:xVal>
          <c:yVal>
            <c:numRef>
              <c:f>'Ejercicio 2'!$D$3:$D$14</c:f>
              <c:numCache>
                <c:formatCode>General</c:formatCode>
                <c:ptCount val="12"/>
                <c:pt idx="0">
                  <c:v>30000</c:v>
                </c:pt>
                <c:pt idx="1">
                  <c:v>40000</c:v>
                </c:pt>
                <c:pt idx="2">
                  <c:v>35000</c:v>
                </c:pt>
                <c:pt idx="3">
                  <c:v>35000</c:v>
                </c:pt>
                <c:pt idx="4">
                  <c:v>35000</c:v>
                </c:pt>
                <c:pt idx="5">
                  <c:v>50000</c:v>
                </c:pt>
                <c:pt idx="6">
                  <c:v>60000</c:v>
                </c:pt>
                <c:pt idx="7">
                  <c:v>65000</c:v>
                </c:pt>
                <c:pt idx="8">
                  <c:v>40000</c:v>
                </c:pt>
                <c:pt idx="9">
                  <c:v>45000</c:v>
                </c:pt>
                <c:pt idx="10">
                  <c:v>50000</c:v>
                </c:pt>
                <c:pt idx="11">
                  <c:v>50000</c:v>
                </c:pt>
              </c:numCache>
            </c:numRef>
          </c:yVal>
          <c:smooth val="0"/>
          <c:extLst>
            <c:ext xmlns:c16="http://schemas.microsoft.com/office/drawing/2014/chart" uri="{C3380CC4-5D6E-409C-BE32-E72D297353CC}">
              <c16:uniqueId val="{00000000-857E-4A2B-9011-1D443AF3CC5A}"/>
            </c:ext>
          </c:extLst>
        </c:ser>
        <c:dLbls>
          <c:showLegendKey val="0"/>
          <c:showVal val="0"/>
          <c:showCatName val="0"/>
          <c:showSerName val="0"/>
          <c:showPercent val="0"/>
          <c:showBubbleSize val="0"/>
        </c:dLbls>
        <c:axId val="14324416"/>
        <c:axId val="14319616"/>
      </c:scatterChart>
      <c:valAx>
        <c:axId val="1432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319616"/>
        <c:crosses val="autoZero"/>
        <c:crossBetween val="midCat"/>
      </c:valAx>
      <c:valAx>
        <c:axId val="1431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3244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5045697</xdr:colOff>
      <xdr:row>11</xdr:row>
      <xdr:rowOff>37882</xdr:rowOff>
    </xdr:from>
    <xdr:to>
      <xdr:col>4</xdr:col>
      <xdr:colOff>1766454</xdr:colOff>
      <xdr:row>30</xdr:row>
      <xdr:rowOff>69272</xdr:rowOff>
    </xdr:to>
    <xdr:graphicFrame macro="">
      <xdr:nvGraphicFramePr>
        <xdr:cNvPr id="2" name="Gráfico 1">
          <a:extLst>
            <a:ext uri="{FF2B5EF4-FFF2-40B4-BE49-F238E27FC236}">
              <a16:creationId xmlns:a16="http://schemas.microsoft.com/office/drawing/2014/main" id="{03963E84-3629-18D1-19B8-FA58379BC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150473</xdr:colOff>
      <xdr:row>0</xdr:row>
      <xdr:rowOff>0</xdr:rowOff>
    </xdr:from>
    <xdr:to>
      <xdr:col>5</xdr:col>
      <xdr:colOff>793124</xdr:colOff>
      <xdr:row>10</xdr:row>
      <xdr:rowOff>0</xdr:rowOff>
    </xdr:to>
    <xdr:graphicFrame macro="">
      <xdr:nvGraphicFramePr>
        <xdr:cNvPr id="2" name="Gráfico 1">
          <a:extLst>
            <a:ext uri="{FF2B5EF4-FFF2-40B4-BE49-F238E27FC236}">
              <a16:creationId xmlns:a16="http://schemas.microsoft.com/office/drawing/2014/main" id="{070100C4-9332-9A4C-4ED1-BC1C9B25C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17</xdr:row>
      <xdr:rowOff>42232</xdr:rowOff>
    </xdr:from>
    <xdr:to>
      <xdr:col>0</xdr:col>
      <xdr:colOff>6802916</xdr:colOff>
      <xdr:row>37</xdr:row>
      <xdr:rowOff>55085</xdr:rowOff>
    </xdr:to>
    <xdr:graphicFrame macro="">
      <xdr:nvGraphicFramePr>
        <xdr:cNvPr id="5" name="Gráfico 4">
          <a:extLst>
            <a:ext uri="{FF2B5EF4-FFF2-40B4-BE49-F238E27FC236}">
              <a16:creationId xmlns:a16="http://schemas.microsoft.com/office/drawing/2014/main" id="{24CFA694-4CEE-5F72-DFDB-A68A614E8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E0DD-C716-48F5-93D1-F21101116449}">
  <dimension ref="A1:K17"/>
  <sheetViews>
    <sheetView tabSelected="1" zoomScale="59" zoomScaleNormal="100" workbookViewId="0">
      <selection activeCell="G1" sqref="G1:H11"/>
    </sheetView>
  </sheetViews>
  <sheetFormatPr baseColWidth="10" defaultRowHeight="14.4"/>
  <cols>
    <col min="1" max="1" width="74.109375" customWidth="1"/>
    <col min="2" max="2" width="18.6640625" customWidth="1"/>
    <col min="3" max="3" width="14.6640625" customWidth="1"/>
    <col min="4" max="4" width="22.21875" customWidth="1"/>
    <col min="5" max="5" width="27" customWidth="1"/>
    <col min="6" max="6" width="10.21875" customWidth="1"/>
    <col min="7" max="7" width="20.33203125" customWidth="1"/>
    <col min="10" max="10" width="17.109375" customWidth="1"/>
  </cols>
  <sheetData>
    <row r="1" spans="1:11" ht="133.80000000000001" customHeight="1">
      <c r="A1" s="1" t="s">
        <v>0</v>
      </c>
      <c r="B1" s="2" t="s">
        <v>3</v>
      </c>
      <c r="C1" s="3" t="s">
        <v>4</v>
      </c>
      <c r="D1" s="3" t="s">
        <v>5</v>
      </c>
      <c r="E1" s="3" t="s">
        <v>6</v>
      </c>
      <c r="F1" s="1"/>
      <c r="G1" s="3" t="s">
        <v>29</v>
      </c>
      <c r="H1" s="3" t="s">
        <v>30</v>
      </c>
      <c r="J1" s="1"/>
      <c r="K1" s="1"/>
    </row>
    <row r="2" spans="1:11" ht="55.8" customHeight="1">
      <c r="A2" s="1" t="s">
        <v>1</v>
      </c>
      <c r="B2" s="2" t="s">
        <v>7</v>
      </c>
      <c r="C2" s="2">
        <v>72</v>
      </c>
      <c r="D2" s="2">
        <v>12</v>
      </c>
      <c r="E2" s="2">
        <v>8</v>
      </c>
      <c r="G2" s="2">
        <v>12</v>
      </c>
      <c r="H2" s="2">
        <v>72</v>
      </c>
    </row>
    <row r="3" spans="1:11">
      <c r="A3" s="1"/>
      <c r="B3" s="2" t="s">
        <v>8</v>
      </c>
      <c r="C3" s="2">
        <v>241</v>
      </c>
      <c r="D3" s="2">
        <v>14</v>
      </c>
      <c r="E3" s="2">
        <v>10</v>
      </c>
      <c r="G3" s="2">
        <v>14</v>
      </c>
      <c r="H3" s="2">
        <v>241</v>
      </c>
    </row>
    <row r="4" spans="1:11">
      <c r="A4" t="s">
        <v>17</v>
      </c>
      <c r="B4" s="2" t="s">
        <v>9</v>
      </c>
      <c r="C4" s="2">
        <v>310</v>
      </c>
      <c r="D4" s="2">
        <v>16</v>
      </c>
      <c r="E4" s="2">
        <v>9</v>
      </c>
      <c r="G4" s="2">
        <v>16</v>
      </c>
      <c r="H4" s="2">
        <v>310</v>
      </c>
    </row>
    <row r="5" spans="1:11">
      <c r="B5" s="2" t="s">
        <v>10</v>
      </c>
      <c r="C5" s="2">
        <v>50</v>
      </c>
      <c r="D5" s="2">
        <v>11</v>
      </c>
      <c r="E5" s="2">
        <v>15</v>
      </c>
      <c r="G5" s="2">
        <v>11</v>
      </c>
      <c r="H5" s="2">
        <v>50</v>
      </c>
    </row>
    <row r="6" spans="1:11">
      <c r="A6" s="1" t="s">
        <v>18</v>
      </c>
      <c r="B6" s="2" t="s">
        <v>11</v>
      </c>
      <c r="C6" s="2">
        <v>250</v>
      </c>
      <c r="D6" s="2">
        <v>12</v>
      </c>
      <c r="E6" s="2">
        <v>20</v>
      </c>
      <c r="G6" s="2">
        <v>12</v>
      </c>
      <c r="H6" s="2">
        <v>250</v>
      </c>
    </row>
    <row r="7" spans="1:11">
      <c r="A7" s="1" t="s">
        <v>19</v>
      </c>
      <c r="B7" s="2" t="s">
        <v>12</v>
      </c>
      <c r="C7" s="2">
        <v>250</v>
      </c>
      <c r="D7" s="2">
        <v>16</v>
      </c>
      <c r="E7" s="2">
        <v>20</v>
      </c>
      <c r="G7" s="2">
        <v>16</v>
      </c>
      <c r="H7" s="2">
        <v>250</v>
      </c>
    </row>
    <row r="8" spans="1:11">
      <c r="A8" s="1" t="s">
        <v>20</v>
      </c>
      <c r="B8" s="2" t="s">
        <v>13</v>
      </c>
      <c r="C8" s="2">
        <v>259</v>
      </c>
      <c r="D8" s="2">
        <v>16</v>
      </c>
      <c r="E8" s="2">
        <v>5</v>
      </c>
      <c r="G8" s="2">
        <v>16</v>
      </c>
      <c r="H8" s="2">
        <v>259</v>
      </c>
    </row>
    <row r="9" spans="1:11">
      <c r="A9" s="1" t="s">
        <v>21</v>
      </c>
      <c r="B9" s="2" t="s">
        <v>14</v>
      </c>
      <c r="C9" s="2">
        <v>302</v>
      </c>
      <c r="D9" s="2">
        <v>8</v>
      </c>
      <c r="E9" s="2">
        <v>10</v>
      </c>
      <c r="G9" s="2">
        <v>8</v>
      </c>
      <c r="H9" s="2">
        <v>302</v>
      </c>
    </row>
    <row r="10" spans="1:11">
      <c r="B10" s="2" t="s">
        <v>15</v>
      </c>
      <c r="C10" s="2">
        <v>247</v>
      </c>
      <c r="D10" s="2">
        <v>16</v>
      </c>
      <c r="E10" s="2">
        <v>15</v>
      </c>
      <c r="G10" s="2">
        <v>16</v>
      </c>
      <c r="H10" s="2">
        <v>247</v>
      </c>
    </row>
    <row r="11" spans="1:11">
      <c r="B11" s="2" t="s">
        <v>16</v>
      </c>
      <c r="C11" s="2">
        <v>180</v>
      </c>
      <c r="D11" s="2">
        <v>18</v>
      </c>
      <c r="E11" s="2">
        <v>10</v>
      </c>
      <c r="G11" s="2">
        <v>18</v>
      </c>
      <c r="H11" s="2">
        <v>180</v>
      </c>
    </row>
    <row r="12" spans="1:11">
      <c r="B12" t="s">
        <v>2</v>
      </c>
      <c r="G12">
        <f>SUM(G2:G11)</f>
        <v>139</v>
      </c>
      <c r="H12">
        <f>SUM(H2:H11)</f>
        <v>2161</v>
      </c>
    </row>
    <row r="13" spans="1:11" ht="28.8">
      <c r="A13" s="1" t="s">
        <v>22</v>
      </c>
    </row>
    <row r="15" spans="1:11" ht="28.8">
      <c r="A15" s="1" t="s">
        <v>23</v>
      </c>
    </row>
    <row r="17" spans="1:1">
      <c r="A17"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3FA2-80A5-4917-AC81-85F7E41AA3C9}">
  <dimension ref="A1:I35"/>
  <sheetViews>
    <sheetView zoomScale="65" workbookViewId="0">
      <selection activeCell="A2" sqref="A2"/>
    </sheetView>
  </sheetViews>
  <sheetFormatPr baseColWidth="10" defaultRowHeight="14.4"/>
  <cols>
    <col min="1" max="1" width="32.6640625" customWidth="1"/>
    <col min="2" max="2" width="18.109375" customWidth="1"/>
    <col min="3" max="3" width="22" customWidth="1"/>
    <col min="4" max="4" width="26.21875" customWidth="1"/>
    <col min="6" max="6" width="16.44140625" customWidth="1"/>
  </cols>
  <sheetData>
    <row r="1" spans="1:9">
      <c r="A1" t="s">
        <v>44</v>
      </c>
    </row>
    <row r="2" spans="1:9" ht="15" thickBot="1"/>
    <row r="3" spans="1:9">
      <c r="A3" s="6" t="s">
        <v>45</v>
      </c>
      <c r="B3" s="6"/>
    </row>
    <row r="4" spans="1:9">
      <c r="A4" t="s">
        <v>46</v>
      </c>
      <c r="B4" s="9">
        <v>0.187733928577834</v>
      </c>
    </row>
    <row r="5" spans="1:9">
      <c r="A5" t="s">
        <v>47</v>
      </c>
      <c r="B5" s="9">
        <v>3.5244027939267307E-2</v>
      </c>
    </row>
    <row r="6" spans="1:9">
      <c r="A6" t="s">
        <v>48</v>
      </c>
      <c r="B6">
        <v>-0.24040053550665633</v>
      </c>
      <c r="G6" t="s">
        <v>71</v>
      </c>
    </row>
    <row r="7" spans="1:9">
      <c r="A7" t="s">
        <v>49</v>
      </c>
      <c r="B7">
        <v>99.315222669231517</v>
      </c>
      <c r="G7" t="s">
        <v>29</v>
      </c>
      <c r="H7">
        <f>SUM(B7:G7)</f>
        <v>99.315222669231517</v>
      </c>
    </row>
    <row r="8" spans="1:9" ht="15" thickBot="1">
      <c r="A8" s="4" t="s">
        <v>50</v>
      </c>
      <c r="B8" s="4">
        <v>10</v>
      </c>
      <c r="G8" t="s">
        <v>30</v>
      </c>
      <c r="H8" t="s">
        <v>70</v>
      </c>
    </row>
    <row r="10" spans="1:9" ht="15" thickBot="1">
      <c r="A10" t="s">
        <v>51</v>
      </c>
    </row>
    <row r="11" spans="1:9">
      <c r="A11" s="5"/>
      <c r="B11" s="5" t="s">
        <v>56</v>
      </c>
      <c r="C11" s="5" t="s">
        <v>57</v>
      </c>
      <c r="D11" s="5" t="s">
        <v>58</v>
      </c>
      <c r="E11" s="5" t="s">
        <v>59</v>
      </c>
      <c r="F11" s="5" t="s">
        <v>60</v>
      </c>
    </row>
    <row r="12" spans="1:9">
      <c r="A12" s="9" t="s">
        <v>52</v>
      </c>
      <c r="B12" s="9">
        <v>2</v>
      </c>
      <c r="C12" s="9">
        <v>2522.3058231267496</v>
      </c>
      <c r="D12" s="9">
        <v>1261.1529115633748</v>
      </c>
      <c r="E12" s="9">
        <v>0.12786041378313465</v>
      </c>
      <c r="F12" s="9">
        <v>0.8819849301618129</v>
      </c>
    </row>
    <row r="13" spans="1:9">
      <c r="A13" t="s">
        <v>53</v>
      </c>
      <c r="B13">
        <v>7</v>
      </c>
      <c r="C13">
        <v>69044.594176873259</v>
      </c>
      <c r="D13">
        <v>9863.5134538390375</v>
      </c>
    </row>
    <row r="14" spans="1:9" ht="15" thickBot="1">
      <c r="A14" s="4" t="s">
        <v>54</v>
      </c>
      <c r="B14" s="4">
        <v>9</v>
      </c>
      <c r="C14" s="4">
        <v>71566.900000000009</v>
      </c>
      <c r="D14" s="4"/>
      <c r="E14" s="4"/>
      <c r="F14" s="4"/>
    </row>
    <row r="15" spans="1:9" ht="15" thickBot="1"/>
    <row r="16" spans="1:9">
      <c r="A16" s="5"/>
      <c r="B16" s="5" t="s">
        <v>61</v>
      </c>
      <c r="C16" s="5" t="s">
        <v>49</v>
      </c>
      <c r="D16" s="5" t="s">
        <v>62</v>
      </c>
      <c r="E16" s="5" t="s">
        <v>63</v>
      </c>
      <c r="F16" s="5" t="s">
        <v>64</v>
      </c>
      <c r="G16" s="5" t="s">
        <v>65</v>
      </c>
      <c r="H16" s="5" t="s">
        <v>66</v>
      </c>
      <c r="I16" s="5" t="s">
        <v>67</v>
      </c>
    </row>
    <row r="17" spans="1:9">
      <c r="A17" t="s">
        <v>55</v>
      </c>
      <c r="B17">
        <v>137.98181232157657</v>
      </c>
      <c r="C17">
        <v>178.30359366757637</v>
      </c>
      <c r="D17">
        <v>0.77385884088699597</v>
      </c>
      <c r="E17">
        <v>0.46434256079529357</v>
      </c>
      <c r="F17">
        <v>-283.63918941092021</v>
      </c>
      <c r="G17">
        <v>559.60281405407341</v>
      </c>
      <c r="H17">
        <v>-283.63918941092021</v>
      </c>
      <c r="I17">
        <v>559.60281405407341</v>
      </c>
    </row>
    <row r="18" spans="1:9" ht="43.2">
      <c r="A18" s="1" t="s">
        <v>5</v>
      </c>
      <c r="B18">
        <v>5.4652976026030604</v>
      </c>
      <c r="C18">
        <v>10.810702821284425</v>
      </c>
      <c r="D18">
        <v>0.5055450781463372</v>
      </c>
      <c r="E18">
        <v>0.62870235553225218</v>
      </c>
      <c r="F18">
        <v>-20.097952465368628</v>
      </c>
      <c r="G18">
        <v>31.028547670574753</v>
      </c>
      <c r="H18">
        <v>-20.097952465368628</v>
      </c>
      <c r="I18">
        <v>31.028547670574753</v>
      </c>
    </row>
    <row r="19" spans="1:9" ht="43.8" thickBot="1">
      <c r="A19" s="7" t="s">
        <v>6</v>
      </c>
      <c r="B19" s="4">
        <v>0.17627467231482499</v>
      </c>
      <c r="C19" s="4">
        <v>6.545434732224896</v>
      </c>
      <c r="D19" s="4">
        <v>2.6930934235273644E-2</v>
      </c>
      <c r="E19" s="4">
        <v>0.97926650534730786</v>
      </c>
      <c r="F19" s="4">
        <v>-15.301219032721889</v>
      </c>
      <c r="G19" s="4">
        <v>15.65376837735154</v>
      </c>
      <c r="H19" s="4">
        <v>-15.301219032721889</v>
      </c>
      <c r="I19" s="4">
        <v>15.65376837735154</v>
      </c>
    </row>
    <row r="23" spans="1:9">
      <c r="A23" t="s">
        <v>68</v>
      </c>
    </row>
    <row r="24" spans="1:9" ht="15" thickBot="1"/>
    <row r="25" spans="1:9" ht="28.8">
      <c r="A25" s="5" t="s">
        <v>69</v>
      </c>
      <c r="B25" s="8" t="s">
        <v>4</v>
      </c>
    </row>
    <row r="26" spans="1:9">
      <c r="A26">
        <v>5</v>
      </c>
      <c r="B26">
        <v>50</v>
      </c>
    </row>
    <row r="27" spans="1:9">
      <c r="A27">
        <v>15</v>
      </c>
      <c r="B27">
        <v>72</v>
      </c>
    </row>
    <row r="28" spans="1:9">
      <c r="A28">
        <v>25</v>
      </c>
      <c r="B28">
        <v>180</v>
      </c>
    </row>
    <row r="29" spans="1:9">
      <c r="A29">
        <v>35</v>
      </c>
      <c r="B29">
        <v>241</v>
      </c>
    </row>
    <row r="30" spans="1:9">
      <c r="A30">
        <v>45</v>
      </c>
      <c r="B30">
        <v>247</v>
      </c>
    </row>
    <row r="31" spans="1:9">
      <c r="A31">
        <v>55</v>
      </c>
      <c r="B31">
        <v>250</v>
      </c>
    </row>
    <row r="32" spans="1:9">
      <c r="A32">
        <v>65</v>
      </c>
      <c r="B32">
        <v>250</v>
      </c>
    </row>
    <row r="33" spans="1:2">
      <c r="A33">
        <v>75</v>
      </c>
      <c r="B33">
        <v>259</v>
      </c>
    </row>
    <row r="34" spans="1:2">
      <c r="A34">
        <v>85</v>
      </c>
      <c r="B34">
        <v>302</v>
      </c>
    </row>
    <row r="35" spans="1:2" ht="15" thickBot="1">
      <c r="A35" s="4">
        <v>95</v>
      </c>
      <c r="B35" s="4">
        <v>310</v>
      </c>
    </row>
  </sheetData>
  <sortState xmlns:xlrd2="http://schemas.microsoft.com/office/spreadsheetml/2017/richdata2" ref="B26:B35">
    <sortCondition ref="B26"/>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0257-0884-437C-8939-2D40A290D6FC}">
  <dimension ref="A1:G27"/>
  <sheetViews>
    <sheetView zoomScale="49" zoomScaleNormal="58" workbookViewId="0">
      <selection activeCell="E19" sqref="E19"/>
    </sheetView>
  </sheetViews>
  <sheetFormatPr baseColWidth="10" defaultRowHeight="14.4"/>
  <cols>
    <col min="1" max="1" width="101.109375" customWidth="1"/>
    <col min="2" max="2" width="11.6640625" bestFit="1" customWidth="1"/>
    <col min="3" max="3" width="19.44140625" customWidth="1"/>
    <col min="4" max="4" width="14.21875" customWidth="1"/>
    <col min="5" max="5" width="11.6640625" bestFit="1" customWidth="1"/>
    <col min="6" max="6" width="12.6640625" customWidth="1"/>
    <col min="7" max="7" width="12.6640625" bestFit="1" customWidth="1"/>
  </cols>
  <sheetData>
    <row r="1" spans="1:7">
      <c r="A1" t="s">
        <v>25</v>
      </c>
      <c r="C1" t="s">
        <v>26</v>
      </c>
      <c r="D1" t="s">
        <v>27</v>
      </c>
    </row>
    <row r="2" spans="1:7">
      <c r="B2" s="2" t="s">
        <v>28</v>
      </c>
      <c r="C2" s="2" t="s">
        <v>29</v>
      </c>
      <c r="D2" s="2" t="s">
        <v>30</v>
      </c>
      <c r="E2" s="2" t="s">
        <v>31</v>
      </c>
      <c r="F2" s="2" t="s">
        <v>32</v>
      </c>
      <c r="G2" s="2" t="s">
        <v>33</v>
      </c>
    </row>
    <row r="3" spans="1:7">
      <c r="A3" t="s">
        <v>36</v>
      </c>
      <c r="B3" s="2">
        <v>1</v>
      </c>
      <c r="C3" s="2">
        <v>1200</v>
      </c>
      <c r="D3" s="2">
        <v>30000</v>
      </c>
      <c r="E3" s="2">
        <f>C3^2</f>
        <v>1440000</v>
      </c>
      <c r="F3" s="2">
        <f>D3^2</f>
        <v>900000000</v>
      </c>
      <c r="G3" s="2">
        <f>C3*D3</f>
        <v>36000000</v>
      </c>
    </row>
    <row r="4" spans="1:7">
      <c r="B4" s="2">
        <v>2</v>
      </c>
      <c r="C4" s="2">
        <v>1300</v>
      </c>
      <c r="D4" s="2">
        <v>40000</v>
      </c>
      <c r="E4" s="2">
        <f t="shared" ref="E4:E14" si="0">C4^2</f>
        <v>1690000</v>
      </c>
      <c r="F4" s="2">
        <f t="shared" ref="F4:F14" si="1">D4^2</f>
        <v>1600000000</v>
      </c>
      <c r="G4" s="2">
        <f t="shared" ref="G4:G14" si="2">C4*D4</f>
        <v>52000000</v>
      </c>
    </row>
    <row r="5" spans="1:7" ht="28.8">
      <c r="A5" s="10" t="s">
        <v>37</v>
      </c>
      <c r="B5" s="2">
        <v>3</v>
      </c>
      <c r="C5" s="2">
        <v>1450</v>
      </c>
      <c r="D5" s="2">
        <v>35000</v>
      </c>
      <c r="E5" s="2">
        <f t="shared" si="0"/>
        <v>2102500</v>
      </c>
      <c r="F5" s="2">
        <f t="shared" si="1"/>
        <v>1225000000</v>
      </c>
      <c r="G5" s="2">
        <f t="shared" si="2"/>
        <v>50750000</v>
      </c>
    </row>
    <row r="6" spans="1:7">
      <c r="B6" s="2">
        <v>4</v>
      </c>
      <c r="C6" s="2">
        <v>1600</v>
      </c>
      <c r="D6" s="2">
        <v>35000</v>
      </c>
      <c r="E6" s="2">
        <f t="shared" si="0"/>
        <v>2560000</v>
      </c>
      <c r="F6" s="2">
        <f t="shared" si="1"/>
        <v>1225000000</v>
      </c>
      <c r="G6" s="2">
        <f t="shared" si="2"/>
        <v>56000000</v>
      </c>
    </row>
    <row r="7" spans="1:7">
      <c r="A7" t="s">
        <v>38</v>
      </c>
      <c r="B7" s="2">
        <v>5</v>
      </c>
      <c r="C7" s="2">
        <v>2000</v>
      </c>
      <c r="D7" s="2">
        <v>35000</v>
      </c>
      <c r="E7" s="2">
        <f t="shared" si="0"/>
        <v>4000000</v>
      </c>
      <c r="F7" s="2">
        <f t="shared" si="1"/>
        <v>1225000000</v>
      </c>
      <c r="G7" s="2">
        <f t="shared" si="2"/>
        <v>70000000</v>
      </c>
    </row>
    <row r="8" spans="1:7">
      <c r="A8" t="s">
        <v>39</v>
      </c>
      <c r="B8" s="2">
        <v>6</v>
      </c>
      <c r="C8" s="2">
        <v>2450</v>
      </c>
      <c r="D8" s="2">
        <v>50000</v>
      </c>
      <c r="E8" s="2">
        <f t="shared" si="0"/>
        <v>6002500</v>
      </c>
      <c r="F8" s="2">
        <f t="shared" si="1"/>
        <v>2500000000</v>
      </c>
      <c r="G8" s="2">
        <f t="shared" si="2"/>
        <v>122500000</v>
      </c>
    </row>
    <row r="9" spans="1:7">
      <c r="A9" t="s">
        <v>40</v>
      </c>
      <c r="B9" s="2">
        <v>7</v>
      </c>
      <c r="C9" s="2">
        <v>3100</v>
      </c>
      <c r="D9" s="2">
        <v>60000</v>
      </c>
      <c r="E9" s="2">
        <f t="shared" si="0"/>
        <v>9610000</v>
      </c>
      <c r="F9" s="2">
        <f t="shared" si="1"/>
        <v>3600000000</v>
      </c>
      <c r="G9" s="2">
        <f t="shared" si="2"/>
        <v>186000000</v>
      </c>
    </row>
    <row r="10" spans="1:7">
      <c r="A10" s="9" t="s">
        <v>41</v>
      </c>
      <c r="B10" s="2">
        <v>8</v>
      </c>
      <c r="C10" s="2">
        <v>1200</v>
      </c>
      <c r="D10" s="2">
        <v>65000</v>
      </c>
      <c r="E10" s="2">
        <f t="shared" si="0"/>
        <v>1440000</v>
      </c>
      <c r="F10" s="2">
        <f t="shared" si="1"/>
        <v>4225000000</v>
      </c>
      <c r="G10" s="2">
        <f t="shared" si="2"/>
        <v>78000000</v>
      </c>
    </row>
    <row r="11" spans="1:7">
      <c r="B11" s="2">
        <v>9</v>
      </c>
      <c r="C11" s="2">
        <v>1900</v>
      </c>
      <c r="D11" s="2">
        <v>40000</v>
      </c>
      <c r="E11" s="2">
        <f t="shared" si="0"/>
        <v>3610000</v>
      </c>
      <c r="F11" s="2">
        <f t="shared" si="1"/>
        <v>1600000000</v>
      </c>
      <c r="G11" s="2">
        <f t="shared" si="2"/>
        <v>76000000</v>
      </c>
    </row>
    <row r="12" spans="1:7">
      <c r="A12" t="s">
        <v>42</v>
      </c>
      <c r="B12" s="2">
        <v>10</v>
      </c>
      <c r="C12" s="2">
        <v>2500</v>
      </c>
      <c r="D12" s="2">
        <v>45000</v>
      </c>
      <c r="E12" s="2">
        <f t="shared" si="0"/>
        <v>6250000</v>
      </c>
      <c r="F12" s="2">
        <f t="shared" si="1"/>
        <v>2025000000</v>
      </c>
      <c r="G12" s="2">
        <f t="shared" si="2"/>
        <v>112500000</v>
      </c>
    </row>
    <row r="13" spans="1:7">
      <c r="A13" s="15"/>
      <c r="B13" s="2">
        <v>11</v>
      </c>
      <c r="C13" s="2">
        <v>3000</v>
      </c>
      <c r="D13" s="2">
        <v>50000</v>
      </c>
      <c r="E13" s="2">
        <f t="shared" si="0"/>
        <v>9000000</v>
      </c>
      <c r="F13" s="2">
        <f t="shared" si="1"/>
        <v>2500000000</v>
      </c>
      <c r="G13" s="2">
        <f t="shared" si="2"/>
        <v>150000000</v>
      </c>
    </row>
    <row r="14" spans="1:7">
      <c r="B14" s="2">
        <v>12</v>
      </c>
      <c r="C14" s="2">
        <v>4000</v>
      </c>
      <c r="D14" s="2">
        <v>50000</v>
      </c>
      <c r="E14" s="2">
        <f t="shared" si="0"/>
        <v>16000000</v>
      </c>
      <c r="F14" s="2">
        <f t="shared" si="1"/>
        <v>2500000000</v>
      </c>
      <c r="G14" s="2">
        <f t="shared" si="2"/>
        <v>200000000</v>
      </c>
    </row>
    <row r="15" spans="1:7">
      <c r="B15" s="2" t="s">
        <v>34</v>
      </c>
      <c r="C15" s="2">
        <f>SUM(C3:C14)</f>
        <v>25700</v>
      </c>
      <c r="D15" s="2">
        <f t="shared" ref="D15:G15" si="3">SUM(D3:D14)</f>
        <v>535000</v>
      </c>
      <c r="E15" s="2">
        <f t="shared" si="3"/>
        <v>63705000</v>
      </c>
      <c r="F15" s="2">
        <f t="shared" si="3"/>
        <v>25125000000</v>
      </c>
      <c r="G15" s="2">
        <f t="shared" si="3"/>
        <v>1189750000</v>
      </c>
    </row>
    <row r="16" spans="1:7">
      <c r="B16" s="2" t="s">
        <v>35</v>
      </c>
      <c r="C16" s="2">
        <v>12</v>
      </c>
      <c r="D16" s="2"/>
      <c r="E16" s="2"/>
      <c r="F16" s="2"/>
      <c r="G16" s="2"/>
    </row>
    <row r="17" spans="1:3" ht="72">
      <c r="A17" s="14" t="s">
        <v>43</v>
      </c>
      <c r="C17">
        <f>C16</f>
        <v>12</v>
      </c>
    </row>
    <row r="19" spans="1:3">
      <c r="B19" s="12">
        <f>CORREL(C3:C14,D3:D14)</f>
        <v>0.41857938207411255</v>
      </c>
      <c r="C19" t="s">
        <v>72</v>
      </c>
    </row>
    <row r="21" spans="1:3">
      <c r="B21" s="11">
        <f>B19^2</f>
        <v>0.17520869909754588</v>
      </c>
      <c r="C21" t="s">
        <v>73</v>
      </c>
    </row>
    <row r="23" spans="1:3">
      <c r="B23" s="13">
        <f>INTERCEPT(D3:D14,C3:C14)</f>
        <v>33717.418486101764</v>
      </c>
      <c r="C23" t="s">
        <v>74</v>
      </c>
    </row>
    <row r="25" spans="1:3">
      <c r="B25" s="13">
        <f>SLOPE(D3:D14,C3:C14)</f>
        <v>5.0735789169952872</v>
      </c>
      <c r="C25" t="s">
        <v>75</v>
      </c>
    </row>
    <row r="27" spans="1:3">
      <c r="B27" s="15">
        <f>B23+B25</f>
        <v>33722.492065018756</v>
      </c>
      <c r="C27" t="s">
        <v>76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Ejercicio 1</vt:lpstr>
      <vt:lpstr>Graficos 1</vt:lpstr>
      <vt:lpstr>Ejercicio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Akemi</dc:creator>
  <cp:lastModifiedBy>H Akemi</cp:lastModifiedBy>
  <dcterms:created xsi:type="dcterms:W3CDTF">2024-06-14T20:53:41Z</dcterms:created>
  <dcterms:modified xsi:type="dcterms:W3CDTF">2024-06-16T09:43:34Z</dcterms:modified>
</cp:coreProperties>
</file>