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2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araux/Documents/AGCOLLEGE/"/>
    </mc:Choice>
  </mc:AlternateContent>
  <xr:revisionPtr revIDLastSave="0" documentId="13_ncr:1_{6F418527-6AD7-BC49-9BAB-28F46B1FD6D2}" xr6:coauthVersionLast="47" xr6:coauthVersionMax="47" xr10:uidLastSave="{00000000-0000-0000-0000-000000000000}"/>
  <bookViews>
    <workbookView xWindow="30160" yWindow="500" windowWidth="27120" windowHeight="16200" activeTab="1" xr2:uid="{B522EFFD-4AFB-A641-8E42-67A81EEEE492}"/>
  </bookViews>
  <sheets>
    <sheet name="Hoja1" sheetId="1" r:id="rId1"/>
    <sheet name="Hoja2" sheetId="2" r:id="rId2"/>
  </sheets>
  <definedNames>
    <definedName name="_xlchart.v1.0" hidden="1">Hoja1!$A$11:$A$17</definedName>
    <definedName name="_xlchart.v1.1" hidden="1">Hoja1!$B$11:$B$17</definedName>
    <definedName name="_xlchart.v1.10" hidden="1">Hoja1!$A$11:$A$17</definedName>
    <definedName name="_xlchart.v1.11" hidden="1">Hoja1!$B$11:$B$17</definedName>
    <definedName name="_xlchart.v1.12" hidden="1">Hoja1!$C$11:$C$17</definedName>
    <definedName name="_xlchart.v1.13" hidden="1">Hoja1!$D$11:$D$17</definedName>
    <definedName name="_xlchart.v1.14" hidden="1">Hoja1!$E$11:$E$17</definedName>
    <definedName name="_xlchart.v1.2" hidden="1">Hoja1!$C$11:$C$17</definedName>
    <definedName name="_xlchart.v1.3" hidden="1">Hoja1!$D$11:$D$17</definedName>
    <definedName name="_xlchart.v1.4" hidden="1">Hoja1!$E$11:$E$17</definedName>
    <definedName name="_xlchart.v1.5" hidden="1">Hoja1!$A$11:$A$17</definedName>
    <definedName name="_xlchart.v1.6" hidden="1">Hoja1!$B$11:$B$17</definedName>
    <definedName name="_xlchart.v1.7" hidden="1">Hoja1!$C$11:$C$17</definedName>
    <definedName name="_xlchart.v1.8" hidden="1">Hoja1!$D$11:$D$17</definedName>
    <definedName name="_xlchart.v1.9" hidden="1">Hoja1!$E$11:$E$17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A11" i="1"/>
  <c r="A17" i="1"/>
  <c r="B12" i="1"/>
  <c r="B13" i="1"/>
  <c r="B14" i="1"/>
  <c r="B15" i="1"/>
  <c r="B16" i="1"/>
  <c r="B11" i="1"/>
  <c r="C11" i="1" s="1"/>
  <c r="A12" i="1"/>
  <c r="A13" i="1"/>
  <c r="A14" i="1"/>
  <c r="A15" i="1"/>
  <c r="A16" i="1"/>
  <c r="C12" i="1" l="1"/>
  <c r="C13" i="1" s="1"/>
  <c r="C14" i="1" s="1"/>
  <c r="C15" i="1" s="1"/>
  <c r="C16" i="1" s="1"/>
  <c r="C17" i="1" s="1"/>
  <c r="B18" i="1"/>
  <c r="D15" i="1" l="1"/>
  <c r="D11" i="1"/>
  <c r="D17" i="1"/>
  <c r="D13" i="1"/>
  <c r="D14" i="1"/>
  <c r="D12" i="1"/>
  <c r="D16" i="1"/>
  <c r="E11" i="1"/>
  <c r="D18" i="1" l="1"/>
  <c r="E12" i="1"/>
  <c r="E13" i="1" s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<sst xmlns="http://schemas.openxmlformats.org/spreadsheetml/2006/main" count="15" uniqueCount="14">
  <si>
    <t>DEFECTO</t>
  </si>
  <si>
    <t>FRECUENCIA</t>
  </si>
  <si>
    <t>CONCEPTO</t>
  </si>
  <si>
    <t>FRECUENCIA ACUMULADA</t>
  </si>
  <si>
    <t>PORCENTAJE</t>
  </si>
  <si>
    <t>PORCENTAJE ACUMULADO</t>
  </si>
  <si>
    <t>TOTAL</t>
  </si>
  <si>
    <t>Tensión</t>
  </si>
  <si>
    <t>Rayado</t>
  </si>
  <si>
    <t>Burbujas</t>
  </si>
  <si>
    <t>Fracturas</t>
  </si>
  <si>
    <t>Manchas</t>
  </si>
  <si>
    <t>Rajaduras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</si>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</sst>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EC92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  <cx:data id="1">
      <cx:strDim type="cat">
        <cx:f>_xlchart.v1.10</cx:f>
      </cx:strDim>
      <cx:numDim type="val">
        <cx:f>_xlchart.v1.12</cx:f>
      </cx:numDim>
    </cx:data>
    <cx:data id="2">
      <cx:strDim type="cat">
        <cx:f>_xlchart.v1.10</cx:f>
      </cx:strDim>
      <cx:numDim type="val">
        <cx:f>_xlchart.v1.13</cx:f>
      </cx:numDim>
    </cx:data>
    <cx:data id="3">
      <cx:strDim type="cat">
        <cx:f>_xlchart.v1.10</cx:f>
      </cx:strDim>
      <cx:numDim type="val">
        <cx:f>_xlchart.v1.14</cx:f>
      </cx:numDim>
    </cx:data>
  </cx:chartData>
  <cx:chart>
    <cx:title pos="t" align="ctr" overlay="0"/>
    <cx:plotArea>
      <cx:plotAreaRegion>
        <cx:series layoutId="clusteredColumn" uniqueId="{B1C51A65-D1F7-FD48-9EA0-4ABB854CB248}" formatIdx="0">
          <cx:dataId val="0"/>
          <cx:layoutPr>
            <cx:aggregation/>
          </cx:layoutPr>
          <cx:axisId val="1"/>
        </cx:series>
        <cx:series layoutId="paretoLine" ownerIdx="0" uniqueId="{CE9B7C0C-1549-7B4F-854D-B90850C69751}" formatIdx="1">
          <cx:axisId val="2"/>
        </cx:series>
        <cx:series layoutId="clusteredColumn" hidden="1" uniqueId="{8E75050E-3B30-7C41-BEFB-542098B2B675}" formatIdx="2">
          <cx:dataId val="1"/>
          <cx:layoutPr>
            <cx:aggregation/>
          </cx:layoutPr>
          <cx:axisId val="1"/>
        </cx:series>
        <cx:series layoutId="paretoLine" ownerIdx="2" uniqueId="{B9F3972B-9148-234B-BD6F-862D084E234D}" formatIdx="3">
          <cx:axisId val="2"/>
        </cx:series>
        <cx:series layoutId="clusteredColumn" hidden="1" uniqueId="{2E4DA09A-FE71-ED43-B69D-5D444905A5CD}" formatIdx="4">
          <cx:dataId val="2"/>
          <cx:layoutPr>
            <cx:aggregation/>
          </cx:layoutPr>
          <cx:axisId val="1"/>
        </cx:series>
        <cx:series layoutId="paretoLine" ownerIdx="4" uniqueId="{0E79C402-A133-1F4E-8C26-0DF01E50A4DD}" formatIdx="5">
          <cx:axisId val="2"/>
        </cx:series>
        <cx:series layoutId="clusteredColumn" hidden="1" uniqueId="{D0BDFE58-B083-334D-BAD3-5D6C529D4D8E}" formatIdx="6">
          <cx:dataId val="3"/>
          <cx:layoutPr>
            <cx:aggregation/>
          </cx:layoutPr>
          <cx:axisId val="1"/>
        </cx:series>
        <cx:series layoutId="paretoLine" ownerIdx="6" uniqueId="{EDDE6376-5901-9042-9069-831D09FE1D85}" formatIdx="7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microsoft.com/office/2014/relationships/chartEx" Target="../charts/chartEx1.xml"/><Relationship Id="rId6" Type="http://schemas.openxmlformats.org/officeDocument/2006/relationships/customXml" Target="../ink/ink3.xm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ustomXml" Target="../ink/ink7.xml"/><Relationship Id="rId7" Type="http://schemas.openxmlformats.org/officeDocument/2006/relationships/customXml" Target="../ink/ink9.xml"/><Relationship Id="rId2" Type="http://schemas.openxmlformats.org/officeDocument/2006/relationships/image" Target="../media/image6.png"/><Relationship Id="rId1" Type="http://schemas.openxmlformats.org/officeDocument/2006/relationships/customXml" Target="../ink/ink6.xml"/><Relationship Id="rId6" Type="http://schemas.openxmlformats.org/officeDocument/2006/relationships/image" Target="../media/image8.png"/><Relationship Id="rId5" Type="http://schemas.openxmlformats.org/officeDocument/2006/relationships/customXml" Target="../ink/ink8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122296</xdr:colOff>
      <xdr:row>2</xdr:row>
      <xdr:rowOff>159926</xdr:rowOff>
    </xdr:from>
    <xdr:to>
      <xdr:col>12</xdr:col>
      <xdr:colOff>564443</xdr:colOff>
      <xdr:row>20</xdr:row>
      <xdr:rowOff>206962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2DF2428-63D6-70C5-1839-277B663F3F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5481" y="583259"/>
              <a:ext cx="6237110" cy="4167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444351</xdr:colOff>
      <xdr:row>7</xdr:row>
      <xdr:rowOff>188615</xdr:rowOff>
    </xdr:from>
    <xdr:to>
      <xdr:col>12</xdr:col>
      <xdr:colOff>136572</xdr:colOff>
      <xdr:row>7</xdr:row>
      <xdr:rowOff>207695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30BFFA13-A1A8-A6D1-AE38-FA4E3046CA4F}"/>
                </a:ext>
              </a:extLst>
            </xdr14:cNvPr>
            <xdr14:cNvContentPartPr/>
          </xdr14:nvContentPartPr>
          <xdr14:nvPr macro=""/>
          <xdr14:xfrm>
            <a:off x="7923240" y="1693800"/>
            <a:ext cx="3831480" cy="1908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0BFFA13-A1A8-A6D1-AE38-FA4E3046CA4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914600" y="1685160"/>
              <a:ext cx="38491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450471</xdr:colOff>
      <xdr:row>7</xdr:row>
      <xdr:rowOff>159455</xdr:rowOff>
    </xdr:from>
    <xdr:to>
      <xdr:col>7</xdr:col>
      <xdr:colOff>641271</xdr:colOff>
      <xdr:row>8</xdr:row>
      <xdr:rowOff>58284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1567501D-9FF6-7551-8D94-E4BA785DE8F2}"/>
                </a:ext>
              </a:extLst>
            </xdr14:cNvPr>
            <xdr14:cNvContentPartPr/>
          </xdr14:nvContentPartPr>
          <xdr14:nvPr macro=""/>
          <xdr14:xfrm>
            <a:off x="7929360" y="1664640"/>
            <a:ext cx="190800" cy="115200"/>
          </xdr14:xfrm>
        </xdr:contentPart>
      </mc:Choice>
      <mc:Fallback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1567501D-9FF6-7551-8D94-E4BA785DE8F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20360" y="1656000"/>
              <a:ext cx="2084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486111</xdr:colOff>
      <xdr:row>8</xdr:row>
      <xdr:rowOff>76644</xdr:rowOff>
    </xdr:from>
    <xdr:to>
      <xdr:col>7</xdr:col>
      <xdr:colOff>721551</xdr:colOff>
      <xdr:row>14</xdr:row>
      <xdr:rowOff>124262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7D70754A-CDB0-8A7E-EFC5-F652477D5E68}"/>
                </a:ext>
              </a:extLst>
            </xdr14:cNvPr>
            <xdr14:cNvContentPartPr/>
          </xdr14:nvContentPartPr>
          <xdr14:nvPr macro=""/>
          <xdr14:xfrm>
            <a:off x="7965000" y="1798200"/>
            <a:ext cx="235440" cy="159984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7D70754A-CDB0-8A7E-EFC5-F652477D5E6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956000" y="1789558"/>
              <a:ext cx="253080" cy="16174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741523</xdr:colOff>
      <xdr:row>4</xdr:row>
      <xdr:rowOff>108366</xdr:rowOff>
    </xdr:from>
    <xdr:to>
      <xdr:col>8</xdr:col>
      <xdr:colOff>731779</xdr:colOff>
      <xdr:row>23</xdr:row>
      <xdr:rowOff>168733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109E33D6-9DF4-418A-8D07-2AF44C13050E}"/>
                </a:ext>
              </a:extLst>
            </xdr14:cNvPr>
            <xdr14:cNvContentPartPr/>
          </xdr14:nvContentPartPr>
          <xdr14:nvPr macro=""/>
          <xdr14:xfrm>
            <a:off x="5614560" y="964440"/>
            <a:ext cx="3423960" cy="436896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109E33D6-9DF4-418A-8D07-2AF44C13050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05560" y="955440"/>
              <a:ext cx="3441600" cy="438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674603</xdr:colOff>
      <xdr:row>5</xdr:row>
      <xdr:rowOff>39596</xdr:rowOff>
    </xdr:from>
    <xdr:to>
      <xdr:col>8</xdr:col>
      <xdr:colOff>22579</xdr:colOff>
      <xdr:row>7</xdr:row>
      <xdr:rowOff>215975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1C26DC4A-BC01-61F6-DD78-9646F8C9CC26}"/>
                </a:ext>
              </a:extLst>
            </xdr14:cNvPr>
            <xdr14:cNvContentPartPr/>
          </xdr14:nvContentPartPr>
          <xdr14:nvPr macro=""/>
          <xdr14:xfrm>
            <a:off x="7325640" y="1112040"/>
            <a:ext cx="1003680" cy="609120"/>
          </xdr14:xfrm>
        </xdr:contentPart>
      </mc:Choice>
      <mc:Fallback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1C26DC4A-BC01-61F6-DD78-9646F8C9CC2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17000" y="1103040"/>
              <a:ext cx="1021320" cy="62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195480</xdr:colOff>
      <xdr:row>3</xdr:row>
      <xdr:rowOff>42360</xdr:rowOff>
    </xdr:from>
    <xdr:to>
      <xdr:col>13</xdr:col>
      <xdr:colOff>767620</xdr:colOff>
      <xdr:row>24</xdr:row>
      <xdr:rowOff>13440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AE5450F8-1243-90BC-F67C-486FD29F7A59}"/>
                </a:ext>
              </a:extLst>
            </xdr14:cNvPr>
            <xdr14:cNvContentPartPr/>
          </xdr14:nvContentPartPr>
          <xdr14:nvPr macro=""/>
          <xdr14:xfrm>
            <a:off x="195480" y="641686"/>
            <a:ext cx="11331466" cy="4166361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AE5450F8-1243-90BC-F67C-486FD29F7A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6480" y="632687"/>
              <a:ext cx="11349106" cy="418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274318</xdr:colOff>
      <xdr:row>25</xdr:row>
      <xdr:rowOff>169098</xdr:rowOff>
    </xdr:from>
    <xdr:to>
      <xdr:col>5</xdr:col>
      <xdr:colOff>553678</xdr:colOff>
      <xdr:row>26</xdr:row>
      <xdr:rowOff>105403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9EB004E7-6FFE-E757-77DC-7C5B29C3A616}"/>
                </a:ext>
              </a:extLst>
            </xdr14:cNvPr>
            <xdr14:cNvContentPartPr/>
          </xdr14:nvContentPartPr>
          <xdr14:nvPr macro=""/>
          <xdr14:xfrm>
            <a:off x="4412520" y="5163480"/>
            <a:ext cx="279360" cy="136080"/>
          </xdr14:xfrm>
        </xdr:contentPart>
      </mc:Choice>
      <mc:Fallback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9EB004E7-6FFE-E757-77DC-7C5B29C3A61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403880" y="5154840"/>
              <a:ext cx="29700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247316</xdr:colOff>
      <xdr:row>3</xdr:row>
      <xdr:rowOff>105914</xdr:rowOff>
    </xdr:from>
    <xdr:to>
      <xdr:col>11</xdr:col>
      <xdr:colOff>30955</xdr:colOff>
      <xdr:row>8</xdr:row>
      <xdr:rowOff>132678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ABEE6D5E-380C-924D-8D3A-701EE7B12E95}"/>
                </a:ext>
              </a:extLst>
            </xdr14:cNvPr>
            <xdr14:cNvContentPartPr/>
          </xdr14:nvContentPartPr>
          <xdr14:nvPr macro=""/>
          <xdr14:xfrm>
            <a:off x="7696080" y="705240"/>
            <a:ext cx="1438920" cy="1025640"/>
          </xdr14:xfrm>
        </xdr:contentPart>
      </mc:Choice>
      <mc:Fallback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ABEE6D5E-380C-924D-8D3A-701EE7B12E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687440" y="696240"/>
              <a:ext cx="1456560" cy="10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258118</xdr:colOff>
      <xdr:row>1</xdr:row>
      <xdr:rowOff>4345</xdr:rowOff>
    </xdr:from>
    <xdr:to>
      <xdr:col>12</xdr:col>
      <xdr:colOff>488875</xdr:colOff>
      <xdr:row>12</xdr:row>
      <xdr:rowOff>149697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1" name="Entrada de lápiz 50">
              <a:extLst>
                <a:ext uri="{FF2B5EF4-FFF2-40B4-BE49-F238E27FC236}">
                  <a16:creationId xmlns:a16="http://schemas.microsoft.com/office/drawing/2014/main" id="{3CD03A7B-719E-5286-D055-124801FA8AE2}"/>
                </a:ext>
              </a:extLst>
            </xdr14:cNvPr>
            <xdr14:cNvContentPartPr/>
          </xdr14:nvContentPartPr>
          <xdr14:nvPr macro=""/>
          <xdr14:xfrm>
            <a:off x="4396320" y="204120"/>
            <a:ext cx="6024240" cy="2342880"/>
          </xdr14:xfrm>
        </xdr:contentPart>
      </mc:Choice>
      <mc:Fallback>
        <xdr:pic>
          <xdr:nvPicPr>
            <xdr:cNvPr id="51" name="Entrada de lápiz 50">
              <a:extLst>
                <a:ext uri="{FF2B5EF4-FFF2-40B4-BE49-F238E27FC236}">
                  <a16:creationId xmlns:a16="http://schemas.microsoft.com/office/drawing/2014/main" id="{3CD03A7B-719E-5286-D055-124801FA8AE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87320" y="195479"/>
              <a:ext cx="6041880" cy="236052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0:56.66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10643 20 24575,'-16'0'0,"-6"0"0,-8-2 0,-7 0 0,-2 1 0,2 0 0,6 0 0,7 0 0,2 0 0,0 0 0,-2 1 0,-4 0 0,-1 0 0,-2 0 0,1 0 0,5 0 0,5 0 0,4 1 0,-1 0 0,-2 0 0,-8 1 0,-5 0 0,-1 0 0,1 1 0,1-1 0,0-1 0,-2 0 0,1-1 0,4-1 0,4 0 0,3 1 0,-6 0 0,-7 1 0,-6 2 0,-1-1 0,8 0 0,6-1 0,4 0 0,0 0 0,-1 1 0,-1 0 0,-10 0 0,-5-1 0,-5 0 0,-2-1 0,1 1 0,-4 1 0,3-1 0,4 1 0,8-2 0,2 0 0,-6 0 0,0 0 0,0 0 0,3 1 0,4-1 0,-1 0 0,-4 1 0,-1-1 0,-6 0 0,0-1 0,4 1 0,2-1 0,4 1 0,-1 0 0,-5-1 0,-3 0 0,-5 0 0,-1 2 0,1 0 0,3-1 0,7 1 0,3 0 0,1 0 0,-7 0 0,-7 0 0,-5-1 0,0-2 0,5 1 0,2 0 0,0 0 0,1 1 0,2 0 0,2 0 0,-7-1 0,-5 0 0,-2 0 0,6 0 0,7 1 0,3-1 0,-3-1 0,-7-1 0,1 0 0,0 0 0,2 1 0,7 1 0,4 0 0,7 1 0,5 0 0,1 0 0,-2 0 0,-1-1 0,-3 0 0,-3-1 0,-3 1 0,-3 0 0,0 2 0,-1 0 0,-2-1 0,-1 1 0,-3-1 0,0 0 0,1 0 0,2 0 0,8 0 0,8 0 0,0-1 0,-2 0 0,-7-1 0,1 1 0,4 0 0,3 0 0,-2 1 0,-10 0 0,-7 0 0,0 0 0,8 1 0,10 0 0,-1-1 0,-10 0 0,-10-1 0,-3 2 0,8-1 0,6 2 0,1-1 0,-6-1 0,-4 0 0,6 0 0,6-1 0,3 0 0,-12 1 0,-13 1 0,0 1 0,9 0 0,18-2 0,11 0 0,0 0 0,-3-1 0,0 0 0,0 1 0,1 0 0,-10 0 0,-10 0 0,-6 0 0,4 0 0,7 1 0,7-1 0,-3 2 0,-5-1 0,-2 1 0,5-1 0,4 0 0,1-2 0,-4-1 0,-6 1 0,1 0 0,2 1 0,5 1 0,2-1 0,-1 1 0,2-1 0,2 0 0,-4-2 0,-9 1 0,-6-1 0,1 1 0,9 1 0,8 0 0,0 0 0,-6 0 0,-6 1 0,-1 0 0,3 0 0,-3 0 0,-1 0 0,0-1 0,3 0 0,5 0 0,-1 0 0,-9 0 0,-7 0 0,1 0 0,6 0 0,11 0 0,3 0 0,-3 0 0,-6 0 0,-4 0 0,2 0 0,5 0 0,4 0 0,-2 0 0,0 0 0,-3-1 0,1 0 0,3 1 0,-1 0 0,-2 0 0,-4-1 0,-2 0 0,-1 0 0,3 1 0,6 0 0,6 0 0,5-1 0,-5 0 0,-6 1 0,-5 0 0,1 0 0,5 1 0,2 0 0,-5-1 0,-5 0 0,0 1 0,6 0 0,2 0 0,-3-1 0,-5-1 0,-3 0 0,1 0 0,7 0 0,4 0 0,0 0 0,2 1 0,2 1 0,3-1 0,3 0 0,-4 0 0,-4-1 0,0 0 0,3 1 0,1 0 0,11 0 0,-10 0 0,5 0 0,-8 0 0,-3 0 0,4 0 0,-1 0 0,-4-1 0,-3 0 0,-2 0 0,3 0 0,7 0 0,1 0 0,-1-1 0,-5 1 0,-2 0 0,5 2 0,6-1 0,7 0 0,-3 0 0,-8 0 0,-10 0 0,-1-1 0,3 0 0,10 0 0,5 1 0,-2 0 0,-7 0 0,-6-2 0,0 0 0,7 1 0,8 0 0,5 1 0,-2 1 0,-5 0 0,-3-1 0,1 1 0,0-1 0,-2 0 0,-2 0 0,-2 0 0,2 1 0,0 1 0,-6-2 0,-5 0 0,-3 0 0,0 1 0,8 0 0,8 0 0,6-1 0,1-1 0,-3 0 0,-3 1 0,-3 0 0,-1 0 0,-3 0 0,-1-1 0,1 0 0,2 0 0,5 1 0,-2 0 0,-6 0 0,-8 0 0,-6 1 0,3 0 0,5-1 0,7 1 0,4 0 0,0 0 0,-1-1 0,0 0 0,-1 0 0,-2 0 0,-2 0 0,2 0 0,8 0 0,8 0 0,4 0 0,-2 0 0,-1 0 0,0 0 0,3 0 0,2 0 0,3 0 0,0 0 0,-1 0 0,-3 0 0,0 0 0,0 0 0,2 0 0,3 0 0,2 0 0,0 0 0,-1 0 0,1 0 0,1-1 0,1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1:08.83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278 71 24575,'-1'13'0,"0"0"0,3 1 0,2-2 0,-2-4 0,1-2 0,-1-6 0,5 2 0,2-2 0,1 1 0,-2-1 0,-2-2 0,0-2 0,3-2 0,-1 0 0,0 0 0,-2-1 0,-1 1 0,-1 0 0,-1-1 0,0 0 0,-1-3 0,-2-3 0,-2-1 0,-2-1 0,-5 2 0,0 4 0,1 2 0,1 6 0,1 3 0,0 3 0,-1 3 0,0 0 0,0 2 0,0-1 0,1 1 0,2-1 0,1 1 0,1 0 0,1-1 0,0-2 0,0-2 0,1 2 0,0-2 0,1 3 0,1-2 0,1 0 0,-1 0 0,1-4 0,-1 0 0,0-2 0,2 0 0,-1 0 0,0 0 0,1-2 0,2-4 0,3-3 0,0-4 0,-2 1 0,-3 1 0,-2 1 0,0 1 0,-1 1 0,0 0 0,-1 3 0,0 0 0,0 0 0,-2-1 0,-2 0 0,0 2 0,-1 1 0,0 2 0,1 1 0,0 2 0,0 0 0,0 2 0,0 2 0,-2 5 0,1 5 0,0 1 0,1-1 0,3-4 0,-1-3 0,1-1 0,1-1 0,2 2 0,1-1 0,2 1 0,6-1 0,9 0 0,11 1 0,8-1 0,-4-3 0,-9-1 0,-11-2 0,-8-1 0,-3-2 0,-1 0 0,1-1 0,0-2 0,1-3 0,1-1 0,0 0 0,-1 0 0,-1 0 0,-2-1 0,-2 0 0,-2-2 0,-5-1 0,-7-3 0,-9-2 0,-2 1 0,2 3 0,6 4 0,7 6 0,3 0 0,0 2 0,0 0 0,-5-1 0,-10 1 0,-5-1 0,-1 1 0,6 1 0,6 0 0,3 3 0,0 2 0,1 2 0,1 2 0,2 0 0,2 1 0,4 0 0,1 2 0,2-1 0,0 1 0,2-1 0,4 0 0,9 1 0,7 0 0,6-4 0,2-2 0,-1-3 0,-3-2 0,-5-2 0,-4 1 0,-7-2 0,-4-2 0,-2-3 0,2-5 0,-1-4 0,-1-2 0,-2 1 0,-4 2 0,-1 1 0,-2 2 0,-1 3 0,-2 2 0,-2 1 0,-3 1 0,-4 1 0,-1 1 0,0 0 0,-2 1 0,-4 1 0,-2 2 0,0 0 0,5 3 0,7 0 0,5 0 0,2 1 0,2 2 0,0 4 0,1 3 0,2 3 0,0 3 0,5-1 0,3-1 0,4-5 0,2-5 0,0-2 0,-2-5 0,0-1 0,0 0 0,3-1 0,4-1 0,0-3 0,0-2 0,-3-3 0,-3-3 0,-3-2 0,-2-2 0,-2-1 0,-4 1 0,-2 2 0,-3 2 0,0 4 0,-3 3 0,-6 1 0,-28-1 0,17 2 0,-25-1 0,41 5 0,-8-1 0,10 3 0,-8 2 0,-4 4 0,0 1 0,6 0 0,4 2 0,-3 4 0,-5 6 0,-2 3 0,3 1 0,5-4 0,8-5 0,2 0 0,2 2 0,4 3 0,7 1 0,9-3 0,5-3 0,5-2 0,3-5 0,7-3 0,11-2 0,4-3 0,-6-2 0,-13-3 0,-14-2 0,-4-2 0,-1-6 0,-1-1 0,-5 0 0,-5-1 0,-5-1 0,-2-5 0,-3-2 0,-3 1 0,-3 3 0,-5 5 0,-9 0 0,-9 2 0,1 4 0,4 3 0,11 3 0,4 3 0,-2-1 0,-3 3 0,1 2 0,0 5 0,3 4 0,0 6 0,0 7 0,3 4 0,5 0 0,4-4 0,5-8 0,5-4 0,8-4 0,2-2 0,4-4 0,3-1 0,-2-4 0,1-2 0,-7-3 0,-5-5 0,-3-4 0,-5-3 0,-2-1 0,-9-3 0,-12-7 0,-22-4 0,-9 4 0,7 10 0,15 10 0,17 9 0,0 5 0,-8 6 0,-2 5 0,3 5 0,8 2 0,6 0 0,5-2 0,3-5 0,4-5 0,7-2 0,8 0 0,3-3 0,1-3 0,-3-5 0,0-7 0,0-5 0,-2-1 0,-8 1 0,-8 3 0,-6 3 0,-1 1 0,-2-1 0,-3-1 0,-2 0 0,-1 2 0,1 3 0,3 5 0,-1 2 0,-2 5 0,-1 6 0,2 4 0,1 0 0,6-2 0,7-3 0,11 1 0,7-3 0,1-2 0,-6-6 0,-5-5 0,3-8 0,4-9 0,1-7 0,-5-3 0,-12-2 0,-10 2 0,-6 3 0,-3 5 0,-3 8 0,-4 4 0,-2 3 0,0 3 0,1 5 0,0 5 0,-9 9 0,-7 8 0,-3 6 0,8-2 0,13-4 0,10-6 0,9-1 0,4 0 0,6-4 0,2-3 0,1-5 0,0-5 0,-2-3 0,1-6 0,-2-7 0,-2-5 0,-2-3 0,-5 2 0,-4 2 0,-6 2 0,-4 0 0,-4 4 0,0 5 0,4 4 0,0 4 0,-3 4 0,-6 5 0,1 4 0,6 5 0,6 0 0,6 0 0,5-2 0,12 0 0,12-3 0,10-2 0,-1-4 0,-10-5 0,-10-3 0,-6-7 0,0-6 0,-1-3 0,-3-1 0,-4-1 0,-5 1 0,-3 2 0,-6 3 0,-10 1 0,-12 5 0,-8 1 0,1 4 0,10 6 0,9 7 0,7 9 0,3 8 0,3 5 0,6 0 0,5-5 0,4-6 0,2-9 0,1-6 0,13-3 0,23-1 0,27-2 0,6-5 0,-17-2 0,-26-5 0,-23-3 0,-6-6 0,0-4 0,-2 1 0,-2 6 0,-5 5 0,-6 0 0,-9-1 0,-14-1 0,-14-2 0,-5 3 0,7 5 0,15 6 0,12 10 0,-5 17 0,-6 14 0,0 14 0,8-1 0,12-10 0,8-12 0,5-12 0,6-4 0,10-4 0,10-3 0,8-8 0,6-9 0,-4-7 0,-4-6 0,-10 0 0,-9 2 0,-7 5 0,-7 3 0,-4 3 0,-5 1 0,-6-1 0,-13 0 0,-8 2 0,0 2 0,9 3 0,11 5 0,9 3 0,2 3 0,3 3 0,17 5 0,-12-6 0,11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1:15.44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202 1 24575,'-1'14'0,"-2"4"0,-1 4 0,1 0 0,-1-1 0,2 2 0,0 6 0,-2 6 0,-2 2 0,0-2 0,0-5 0,0-6 0,3-4 0,-1-3 0,1 2 0,0 3 0,1 0 0,-1-3 0,1-2 0,1-2 0,-1 0 0,1 2 0,-1-2 0,1 0 0,0 1 0,0 2 0,-1 3 0,1 1 0,0-3 0,2-1 0,-1-2 0,1 3 0,0 4 0,-1 0 0,0-1 0,1-1 0,-1 0 0,1-1 0,-1-2 0,1 0 0,0 1 0,1 4 0,-1 3 0,0 3 0,0 1 0,1-2 0,-1-3 0,1-3 0,0 1 0,0 4 0,0 6 0,-1 1 0,1-4 0,-1-5 0,-1-3 0,0 3 0,0 4 0,1 3 0,-1 2 0,1-3 0,0-1 0,-1-2 0,0-2 0,0 1 0,0 0 0,0 2 0,0 2 0,0 1 0,0 1 0,0-3 0,0-5 0,0-4 0,0-2 0,0 0 0,0 4 0,0 3 0,0 0 0,0 0 0,-1-1 0,0 0 0,0 3 0,1 3 0,0 3 0,0 1 0,0-3 0,0-5 0,0-4 0,0-3 0,0 0 0,0 2 0,0 1 0,0 2 0,0 1 0,0-2 0,0-2 0,0 2 0,0 0 0,0 3 0,0 5 0,0 1 0,0 0 0,1-3 0,0-4 0,1-1 0,-1 1 0,0 3 0,0 5 0,1 4 0,1 0 0,-1-2 0,0-7 0,-1-4 0,-1-2 0,0-3 0,0 2 0,0 4 0,1 9 0,0-13 0,-1 10 0,0-15 0,-1 7 0,1 6 0,-1 1 0,1 2 0,-1-4 0,0-3 0,1-2 0,-1-1 0,1 1 0,0 1 0,0-1 0,0 3 0,0 2 0,0 3 0,0 4 0,0 2 0,1 0 0,0-3 0,0-4 0,1-6 0,0 0 0,0 6 0,0 5 0,0 6 0,1-2 0,-1-6 0,0-7 0,-1-2 0,0 4 0,0 7 0,1 2 0,1-2 0,-1-4 0,0-5 0,1-2 0,1-3 0,-2-7 0,1-10 0,4-22 0,8-15 0,-5 6 0,2 2 0</inkml:trace>
  <inkml:trace contextRef="#ctx0" brushRef="#br0" timeOffset="1337">0 3793 24575,'3'23'0,"2"9"0,4 17 0,2 13 0,4 6 0,1 0 0,-2-7 0,-1-9 0,-3-8 0,-1-6 0,0-5 0,-1-5 0,-1-5 0,-2-5 0,-1-6 0,-1-4 0,0-2 0,2-1 0,0 2 0,-1-1 0,0-2 0,-2-2 0,-1-1 0,1-1 0,1-1 0,7-3 0,13-7 0,18-8 0,12-9 0,3-6 0,-4-4 0,-12-4 0,-5-3 0,-7 1 0,-6 5 0,-4 6 0,-3 5 0,2 0 0,2-2 0,0 1 0,-4 8 0,-5 9 0,-5 7 0,-3 3 0,0 0 0,-1 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1:21.22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4690 371 24575,'-34'-8'0,"-32"-2"0,10 5 0,-9 2 0,3 0 0,-5 1 0,-4 0-1023,-21 1 0,-6 2 0,-2 0 1023,19 1 0,-1 1 0,-1 0 0,2 2 0,3-1 0,0 1 0,3 1 0,2 2 322,-7 1 1,3 3 0,6 2-323,-2 6 0,6 2 252,8 1 0,1 3-252,-8 5 0,-3 3 0,10-6 0,-3 2 0,-2 1-254,-10 4 1,-3 1-1,0 0 254,1 1 0,0 1 0,2-1 0,5-2 0,0 0 0,4 0 766,-17 11 1,6 1-767,13-4 0,2 2 0,-4 3 0,-2 1 0,-4 6 0,-1 1 0,0-2 0,2-1 0,6-3 0,3-1 0,14-8 0,4-2 0,-21 29 0,32-27 0,0 2 412,-4 8 1,0 2-413,-4 11 0,1 3 0,-1 6 0,1 1 0,2 2 0,0 0 0,3 1 0,1 1 0,1 2 0,1 0 0,2 3 0,0 1 0,0 8 0,0 3-269,9-26 1,1 1 0,-1 2 268,1 4 0,-1 2 0,1 1 0,0 8 0,0 2 0,1 1 0,0 4 0,2 0 0,0 0 0,3-2 0,1-1 0,1 1 0,2-3 0,1 0 0,1 0 0,2-2 0,1 0 0,3 0 0,0 3 0,3 0 0,2 3-434,2-15 0,1 1 1,2 2-1,1-1 434,1 3 0,1 1 0,1 0 0,1 1 0,2 3 0,1 1 0,1 0 0,0 0 0,0 3 0,2 1 0,-1 0 0,1-1 0,-1-4 0,1 0 0,0 0 0,0-1 0,2 0 0,0 0 0,1-1 0,1-1 0,1-2 0,0 0 0,1-2 0,1-1 0,0-7 0,0-2 0,0-1 0,1-1-130,7 15 0,1-3 0,-1-3 130,-4-11 0,0-4 0,-1-3 0,8 10 0,-2-5 0,-2-7 0,-1-2 359,-1-1 0,0-1-359,0 1 0,0 0 883,2 2 0,0-1-883,1-2 0,0 1 223,2 3 0,2 2-223,5 8 0,2 1 0,3 4 0,2 2 0,-14-20 0,1 0 0,0 1-159,4 2 0,0 0 1,0 0 158,0 0 0,0-1 0,1 1 0,0 1 0,0 1 0,0 0 0,1 2 0,0 0 0,0 1 0,3 5 0,0 0 0,1 3-426,-6-10 0,1 1 0,1 2 0,0 0 426,5 5 0,1 1 0,1 1 0,1-2 0,0 1 0,0-1 0,2 0 0,1-2 0,1 0 0,2-2 0,1-1 0,1-2 0,-2-5 0,2-3 0,1-1 0,1-3 0,-2-3 0,2-2 0,0-2 0,2-2-251,2-3 1,1-1-1,1-3 1,0-4 250,18 5 0,0-6 0,-1-4 0,-4-5 0,0-4 0,-1-3-121,-3-3 0,0-4 0,-2-2 121,-7-1 0,-1-1 0,-1-1 0,30 1 0,-1-1 0,2 0 0,-1 0 0,-1-1 0,0 0 0,-25-1 0,1-1 0,1 0 0,3 0 0,0 0 0,0 0 0,-4-1 0,-1 0 0,0-1 0,2 0 0,0 0 0,0 0 0,0-1 0,1 1 0,0-1 0,0 0 0,0 0 0,0-1 0,4 1 0,1 0 0,-3 0 0,23-1 0,-4 0 0,-9 0 0,-1-1 0,-1 0 0,-2-1 201,-5 2 1,1-2-202,9-1 0,3-2 0,-24 1 0,2-2 0,2 1 183,9-3 1,3-1 0,2-1-184,10-3 0,3-1 0,0 0 0,0-1 0,-1 0 0,-3 0 0,-13 2 0,-3 1 0,-4-1 518,16-8 1,-7-2-519,-20 3 0,-7-2 405,27-25-405,-20 2 0,-21 3 0,-16-2 1149,-5-10-1149,-1-8 0,-5-13 0,-6-8 0,-5 39 0,-1-2 0,-1-7 0,0-2 0,-1-7 0,0-2 0,-1-3 0,0-3 0,-3-6 0,-1-2 0,-2-2 0,-1 0 0,0 1 0,0-1 0,1-4 0,-1-1 0,0 0 0,1-2 0,2 27 0,-1-1 0,1-2-253,-2-7 1,-1-3 0,0 1 252,0-2 0,-1-1 0,0 1 0,0-3 0,0 0 0,0 0 0,-1 0 0,1 0 0,-1 0 0,1 0 0,1 1 0,-1-2 0,-1-7 0,0-1 0,-1-1-424,2 17 1,0-2-1,-1 0 1,1-1 423,0-3 0,-1-2 0,1 0 0,-1 0 0,1 0 0,0-1 0,-1 0 0,0 0 0,0 1 0,0 0 0,0 1 0,-2 0 0,0 3 0,-1 0 0,-1 1 0,-2-1 0,-2-2 0,-1-1 0,-2 0 0,0-2 0,-3-6 0,-1-1 0,0-1 0,0 0 0,-1 1 0,1-1 0,-1 1 0,1-1 0,0 3 0,0 0 0,0 1 0,0 2 0,1 6 0,0 0 0,-1 3 0,0 2-168,-8-14 0,0 4 0,-1 2 168,1 7 0,0 2 0,1 4 0,-10-21 0,3 6 0,6 11 0,3 4 0,3 6 0,2 1 336,-3-1 0,-1 0-336,-6-5 0,-2 0 0,-6-4 0,-3 0 0,-2-2 0,-1 1 0,-2 1 0,-1-1 0,13 19 0,-1 0 0,-1-2 112,-6-4 1,-1-2-1,-2-2-112,-6-6 0,-2-2 0,0-1 0,-2-2 0,1 0 0,0-1 0,1 3 0,2 1 0,-1-2 0,-1-1 0,1-2 0,-1 1 0,1 0 0,1 1 0,-1 1 0,3 5 0,1 0 0,1 3 178,9 10 0,2 2 0,2 3-178,-4-4 0,4 5 0,8 11 0,1 2 0,-2-2 0,-2 0 0,-9-7 0,-3 0 0,-5-3 0,-4-1 0,-7-3 0,-3-1 0,-5-1 0,0 2 0,1 1 0,2 3 706,5 4 0,3 2-706,11 9 0,3 4 0,-24-14 0,19 17 0,14 12 0,9 9 0,-14 5 0,-33-4 0,19 1 0,-5 0 0,-15-2 0,-3 1 0,2 0 0,2 1 0,9 1 0,4 2 0,-26 1 0,37 4 0,6 0 0,-3 0 0,-2-1 0,4 0 0,20-1 0,15 0 0,11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1:34.34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2788 0 24575,'-10'14'0,"-22"11"0,-7 0 0,-3-2 0,-6 2 0,2-3 0,-3 1 0,-14 6 0,-2 1 0,0-2 0,-1 0 0,1-2 0,0-1 0,0-1 0,0 0 0,2-2 0,-1 0 0,2 0 0,1 1 0,3-1 0,1 1 0,6-3 0,3 0 0,-33 14 0,6-1 0,-6 3 0,35-16 0,-2 2 0,0 2 0,1-1 0,-32 19 0,29-14 0,25-14 0,18-11 0,6-3 0,0 0 0</inkml:trace>
  <inkml:trace contextRef="#ctx0" brushRef="#br0" timeOffset="884">767 241 24575,'-11'18'0,"-20"33"0,0-3 0,-5 6 0,-11 21 0,-4 6 0,14-20 0,0 3 0,0 1 0,1 0 0,-1 1 0,3-1 0,-12 25 0,2-3 0,6-10 0,2-1 0,2-8 0,1-2 0,7-9 0,2-3 0,-11 32 0,15-33 0,15-33 0,5-16 0,11-8 0,30-2 0,12 3 0,11 1 0,28-2 0,11 0-484,-14-1 1,4 0-1,1 0 484,2-2 0,1 0 0,-4 0 0,-16-1 0,-3 0 0,-6 1 0,8-2 0,-12 1 0,-10-1 0,-39 7 0,-9 2 0,-5 0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2:56.24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29498 3862 24575,'-44'-4'0,"-41"0"0,17 2 0,-6 1 0,-13 0 0,-4 1 0,2 0 0,1 2 0,10-1 0,3 1 0,7 1 0,-1 1 0,-10 3 0,-4 2 0,15-1 0,-3 2 0,-5 1-444,4 1 0,-3 1 0,-3 1 0,-1 1 444,-8 2 0,-2 2 0,-1 0 0,1 0 0,3 1 0,0 1 0,0 1 0,3 0 0,5-1 0,2 2 0,2-1 0,4 2-25,-5 3 0,4 1 1,5 0 24,-12 9 0,6 0 0,12-2 0,5 1 0,9 0 0,3 3 0,0 6 0,2 5 0,-6 12 0,2 4 0,2 4 0,1 2 884,3 2 0,3 1-884,7-6 0,5-1 41,7-4 0,4-1-41,4-1 0,2-1 0,3-4 0,1 1 0,2 3 0,1 0 0,-1-2 0,2 1 0,-1 5 0,1 1 0,1 4 0,2 0 0,-1-5 0,3-1 0,2 6 0,3-2 0,2-2 0,4-1 0,5 0 0,5 0 0,7 3 0,6-1 0,11-3 0,6-3 0,7-2 0,3-4 0,4-6 0,3-5 0,3-3 0,3-5 0,0-7 0,3-4 0,6-3 0,1-2 0,1-5 0,0-3 0,-3-3 0,-3-1 0,-7-3 0,-2-2 0,-8-1 0,1 0 0,2 0 0,1-1 0,1 0 0,2 0 0,10 0 0,4-1 0,5 1 0,1 0 0,-4-1 0,1 0 0,4 0 0,0-1 0,1 0 0,3-2-275,-27 0 1,1-1-1,2-1 275,5-1 0,2-1 0,0-1 0,3-2 0,1-2 0,-2 0 0,-5 0 0,-2-1 0,-2 0-25,24-7 0,-4-2 25,-8-3 0,-4-3 0,-7-4 0,-1-4 0,5-8 0,1-6 0,-24 12 0,-1-1 0,-1-2 0,-2 0 0,-2-1 0,-1-1 0,15-17 0,-5-1 0,-13 5 0,-5-3 0,-8-2 0,-4-4 0,0-9 0,1-5 0,-6 14 0,0-3 0,1-2-229,2-4 0,0-2 0,-1 0 229,-2 0 0,-1 0 0,-2 2 0,-5 3 0,-1 0 0,-3 3 396,-1-20 1,-5 3-397,-4 5 0,-3 2 25,0 7 0,-4 1-25,-2 4 0,-4 3 0,-4 5 0,-5 3 0,-5 8 0,-4 3 359,-5 3 0,-5 5-359,-39-23 0,0 14 0,2 6 0,5 6 0,-19-2 0,18 12 0,-8 0 0,8 7 0,-6 1 0,-3 1-343,-13-1 1,-4 1 0,0 0 342,1 1 0,0 2 0,3 0 0,15 4 0,4 0 0,4 1 0,-4-1 0,10 1 0,-10-1 0,42 4 0,8 1 0,-13 1 0,-33 1 1027,-23 1-1027,36-1 0,3 1 0,-5 1 0,15-3 0</inkml:trace>
  <inkml:trace contextRef="#ctx0" brushRef="#br0" timeOffset="1586">25898 5818 24575,'-83'-4'0,"-5"-1"0,-17 0 0,25 3 0,-8 0 0,-5 0 0,-3 1-1257,16-1 0,-3 1 1,-2 0-1,-3 0 1,-1 1-1,-2-1 1257,3 1 0,-1 0 0,-3 0 0,0 0 0,-2 0 0,-1 1 0,0-1-433,3 1 0,-1-1 0,0 1 0,-2 0 0,-1 0 0,0 0 0,-1 0 0,0-1 433,5 1 0,0-1 0,0 0 0,-1 1 0,-1-1 0,-1 0 0,0 0 0,0 1 0,-2 0 0,4 0 0,-1 0 0,0 0 0,-2 0 0,0 0 0,0 1 0,0-1 0,-1 1 0,0-1 0,0 1 0,7-1 0,-1 1 0,-1-1 0,1 1 0,-1-1 0,0 1 0,0-1 0,0 1 0,1 0 0,0-1 0,0 1 0,-5 0 0,0 0 0,1 0 0,0 0 0,0 0 0,0 0 0,1 0 0,-1 0 0,-1 1 0,0-1-180,-1 0 1,-1 0 0,0 1 0,-1-1-1,1 0 1,-1 1 0,1-1 0,-1 1 0,1-1-1,-1 0 180,1 0 0,0 1 0,1-1 0,0 0 0,-1 0 0,1 0 0,-2 0 0,0 0 0,-1 0 0,-1 0-213,10-1 1,0 1 0,-1-1 0,-1 1 0,0-1 0,0 0 0,-1 0 0,-1 1 0,-1-1 0,0 0 0,-1 0 0,-1 0 212,6 1 0,-2-1 0,0 0 0,0 0 0,-2 0 0,0 0 0,-1 0 0,1 0 0,-2 0 0,1 1 0,-1-1 0,0 0 0,0 0 0,0 1-55,3-1 1,-1 0 0,0 1-1,0-1 1,0 1 0,-1-1-1,0 1 1,0-1 0,0 1-1,-1 0 1,1-1 0,0 1 0,-1-1-1,1 0 1,-1 1 54,0-1 0,-1 1 0,-1-1 0,1 0 0,-1 0 0,0 0 0,0 1 0,0-1 0,0 0 0,1 0 0,0 0 0,1 1 0,0-1 0,0 0 0,2 1-17,-1-1 1,0 1 0,1-1 0,0 1 0,0-1 0,1 1-1,0 0 1,0-1 0,1 1 0,1-1 0,0 1 0,1 0-1,1-1 1,0 1 16,-6 0 0,0 0 0,1-1 0,0 1 0,1 0 0,1 0 0,0-1 0,2 1 0,0 0 0,1 0 0,2 0 0,1-1 78,-13 1 0,0 0 0,2 0 1,1 0-1,2 0 0,1-1 1,2 1-1,2 0 0,3 1-78,-6-1 0,2 1 0,2-1 0,3 1 0,1 0 0,4-1 0,2 1 409,-9 1 1,3-1 0,3 1 0,5-1 0,5 0-410,-6 1 0,7-1 0,4-1 1696,-14 0 0,5-1-1696,9 0 0,3-1 2536,10 0 1,3 0-2537,-30 0 4227,32 1-4227,5 2 939,-33 1-939,22-1 0,-7 1 0,-23 0 0,-6 1 0,19 0 0,-2-1 0,1 1 0,3 0 0,2 0 0,2-1 0,-18 2 0,9 0 0,-13 1 0,62-5 0,22-1 0,4-1 0,1 1 0,-1 0 0</inkml:trace>
  <inkml:trace contextRef="#ctx0" brushRef="#br0" timeOffset="5110">27793 5429 24575,'3'33'0,"-1"44"0,-1-12 0,-2 7 0,0 13 0,0 2 0,-2 1 0,-1-2 0,0-9 0,0-7 0,1-17 0,0-7 0,-2 14 0,2-37 0,0-36 0,2 7 0,-1-13 0</inkml:trace>
  <inkml:trace contextRef="#ctx0" brushRef="#br0" timeOffset="5709">27327 5438 24575,'0'-4'0,"1"0"0,6 0 0,29-2 0,50-1 0,-14 3 0,8 0 0,-13 2 0,3 0 0,0 1 0,1-1 0,0 1 0,-3 0 0,17 0 0,-9 0 0,16 0 0,-61 0 0,-28 0 0,5-3 0,-6 2 0,6 0 0</inkml:trace>
  <inkml:trace contextRef="#ctx0" brushRef="#br0" timeOffset="6612">28240 5797 24575,'4'-4'0,"1"-2"0,9-1 0,20-8 0,11-7 0,-2-4 0,-15 1 0,-20 3 0,-8-3 0,-1-12 0,1-5 0,1 4 0,-1 12 0,-2 13 0,-10 6 0,-7 3 0,-2 7 0,1 9 0,9 9 0,4 6 0,-9 25 0,7-19 0,-13 39 0,11-29 0,1 0 0,3-10 0,11-13 0,14 7 0,13 2 0,16-6 0,12-11 0,-4-14 0,-8-7 0,-15-8 0,-14-11 0,0-12-1696,7-13 0,-12 22 0,4 2 0</inkml:trace>
  <inkml:trace contextRef="#ctx0" brushRef="#br0" timeOffset="7448">28692 5482 24575,'7'15'0,"2"15"0,4 31 0,3 30 0,-3 6 0,-3-16 0,-4-37 0,-4-30 0,-2-25 0,3-17 0,7-17 0,11-17 0,15-13 0,15-3 0,9 7 0,5 13 0,-10 22 0,-17 17 0,-16 12 0,-11 12 0,-1 12 0,1 12 0,-2 10 0,-4 8 0,-4 1 0,-2-5 0,-1-10 0,0-15 0,0-10 0,3-12 0,0-3 0</inkml:trace>
  <inkml:trace contextRef="#ctx0" brushRef="#br0" timeOffset="8165">29774 5070 23041,'-19'9'0,"-35"23"376,13-3 0,-3 5-376,-5 7 0,1 3 128,5-2 1,6-2-129,-5 18 130,28-29-130,13-17 395,5 2-395,2 4 0,-1 5 0,1 18 0,1 21 0,-2 20 0,-1 2 0,-6-22 0,-2-23 0,-1-23 0,0-11 0,-1-9 0,-2-19 0,4 13 0,-1-11 0</inkml:trace>
  <inkml:trace contextRef="#ctx0" brushRef="#br0" timeOffset="8548">29717 5483 24575,'-1'34'0,"-3"16"0,-8 35 0,3-30 0,-1 2 0,-2 2 0,0-3 0,-9 33 0,9-42 0,7-32 0,3-13 0</inkml:trace>
  <inkml:trace contextRef="#ctx0" brushRef="#br0" timeOffset="8898">30045 4953 24575,'0'0'0</inkml:trace>
  <inkml:trace contextRef="#ctx0" brushRef="#br0" timeOffset="9717">30193 5508 24575,'-12'16'0,"-23"21"0,-33 34 0,23-26 0,-2 3 0,0 2 0,2 0 0,9-6 0,5-1 0,0 27 0,28-9 0,15-11 0,7-12 0,-2-19 0,0-16 0,14-20 0,32-28 0,-21 13 0,2-4 0,6-9 0,-2 1 0,11-13 0,-20 5 0,-35 35 0,-1-12 0,-3-5 0,-7-4 0,-7 1 0,-4 10 0,0 6 0,6 6 0,5 4 0,4 3 0,1 5 0,1 2 0</inkml:trace>
  <inkml:trace contextRef="#ctx0" brushRef="#br0" timeOffset="10519">30549 5434 24575,'8'37'0,"5"37"0,-6-15 0,0 6 0,1 13 0,0 1 0,-2-2 0,0-6 0,0 17 0,-2-40 0,-5-70 0,0-25 0,11-38 0,5 20 0,7-5 0,10-8 0,6 0 0,6 0 0,3 5 0,-6 13 0,-2 8 0,11 0 0,-24 41 0,-8 38 0,14 35 0,-14-18 0,0 4 0,-2 6 0,-2 1 0,5 41 0,-13-36 0,-7-33 0,0-20 0,0-9 0</inkml:trace>
  <inkml:trace contextRef="#ctx0" brushRef="#br0" timeOffset="11102">30409 4942 24575,'-44'59'0,"1"-1"0,-7 3 0,-7 4 0,-6 3 0,0-2 0,-6 3 0,-3 2 0,0-3-421,13-13 0,-1 0 0,-1 0 1,1-3-1,2-2 421,-22 16 0,2-4 0,7-9 0,2-4 0,15-15 0,27-19 0</inkml:trace>
  <inkml:trace contextRef="#ctx0" brushRef="#br0" timeOffset="13990">24289 5601 24575,'-58'-36'0,"1"0"0,-1 1 0,-12-5 0,-8-6 0,-6-2 0,0-1 0,1 2 0,6 3 0,1 1 0,-1 0 0,-2-2 0,-3-2 0,-6-3 0,-6-3-656,25 13 1,-4-2-1,-3-1 1,-3-3 0,-3-1-1,-2-1 1,-1-1 0,-2-1-1,-1-1 1,0 0 0,-1 0-1,1 0 1,0 0 0,2 0-1,1 2 562,3 1 1,1 1 0,0 0 0,0-1 0,0 0 0,0 1 0,0-1 0,-1 0 0,0 0 0,0-1-1,-1 0 1,-1 0 0,0-1 0,-1 1 0,-1-2 0,0 0-15,8 5 0,-2 0 0,0-1 1,-1-1-1,0 1 0,-2-2 1,1 1-1,-2-1 0,1 0 0,-1 0 1,0 0-1,0 0 0,1-1 1,-1 2-1,1-1 0,0 1 0,0 0 1,2 0-1,-1 1 0,2 0 108,-9-4 0,1-1 0,-1 1 0,0 0 0,1 0 0,0 0 0,0 1 0,0-1 0,1 1 0,1 1 0,0-1 0,0 1 0,1 1 0,1 0 0,0 1 0,1 0 0,1 0 0,-5-2 0,0 0 0,0 0 0,1 1 0,0 0 0,1 1 0,1 0 0,1 1 0,1 1 0,1 0 0,1 1 0,2 1 0,1 0 0,2 2 0,-18-10 0,1 0 0,1 3 0,3 0 0,2 1 0,2 2 0,3 0 0,2 2 0,4 1 235,-9-5 1,2 2-1,4 1 1,5 2-1,3 1 1,5 1-236,-22-17 0,9 2 0,10 5 0,6-1 0,12 6 0,9 1 0,32 33 0,7 9 0</inkml:trace>
  <inkml:trace contextRef="#ctx0" brushRef="#br0" timeOffset="14925">17255 6016 24575,'-12'-9'0,"-36"-28"0,-12-2 0,-16-8 0,6 8 0,-9-3 0,-8-3 0,-5-2-1405,20 11 1,-4-1 0,-4-1-1,-2-2 1,-3 1 0,-2-1-1,0 0 1395,8 5 0,-2-1 1,-2 1-1,-1-1 0,-1 0 1,-2-1-1,0 0 1,-2 0-1,0-1-250,7 3 0,-2-1 0,0 0 0,-2 0 0,0-1 0,-1 0 0,-1 0 0,0-1 0,0 0 0,-1 0 0,1-1 260,3 1 0,-1 0 0,0 0 0,-1 0 0,1-1 0,-1-1 0,-1 1 0,0-1 0,0 0 0,0 0 0,-1-1 0,0 0-87,1 0 1,0 0-1,-1 0 1,0-1-1,-1 0 1,1 0-1,-2-1 1,1 0-1,0 1 1,0-2-1,0 1 1,0 0 0,0 0 86,5 2 0,1 0 0,-1 0 0,0-1 0,-1 0 0,1 0 0,0 0 0,0 0 0,0 1 0,1-1 0,1 1 0,0 0 0,0 1 0,2 0-157,-6-3 0,-1 0 1,1 0-1,1 1 0,0 0 1,0 0-1,2 0 0,0 2 1,2-1-1,1 2 0,1 0 1,1 1 156,-9-4 0,1 0 0,0 1 0,2 0 0,2 2 0,2 1 0,3 1 0,3 2 0,5 2 340,-17-8 1,5 2 0,5 3 0,6 2 0,7 5-341,-23-12 0,16 10 3171,10 9-3171,6 6 0,1 2 0,7 2 0,-3-1 0,0-1 0</inkml:trace>
  <inkml:trace contextRef="#ctx0" brushRef="#br0" timeOffset="15859">9371 5799 10849,'-94'-33'0,"35"12"0,-11-3 0,-8-4 0,-5-2-214,9 5 1,-4-3-1,-6-1 1,-3-1 0,-4-2-1,-3-1 1,-2 0 213,15 4 0,-3 0 0,-2 0 0,-2-2 0,-2 0 0,-2-1 0,-2-1 0,-1 0 0,-2-1 0,-1-1 0,-1-1-27,15 6 1,-1-1 0,-1-1-1,-2 0 1,-2-1 0,0-1 0,-1 0-1,-1 0 1,-1-1 0,0 0 0,-1 0-1,1-1 1,-1 1 0,0-1 0,0 0-1,0 1 27,6 1 0,-1 0 0,-1-1 0,0 1 0,0-1 0,-1 0 0,0-1 0,0 1 0,-1-1 0,1 1 0,0-1 0,-1 0 0,1 0 0,0 0 0,1 0 0,-1 1 0,1-1 0,1 0-12,-3-1 0,-1 0 1,1-1-1,-1 1 1,0-1-1,1 0 1,0 0-1,0 1 0,0-1 1,1 0-1,0 1 1,1-1-1,0 1 1,2 0-1,0 0 0,1 1 1,2 0 11,-8-3 0,1 0 0,1 0 0,0 0 0,0 0 0,2 0 0,0 1 0,2 0 0,0 0 0,2 1 0,2 1 0,1 0 0,2 1 0,3 1 0,-18-8 0,3 1 0,2 1 0,2 1 0,2 0 0,3 2 0,2 0 0,4 2 0,2 1 228,-22-11 1,4 2 0,6 3 0,5 1 0,7 4-229,-9-5 0,9 5 0,11 4 0,10 4 0,14 7 0,20 11 0</inkml:trace>
  <inkml:trace contextRef="#ctx0" brushRef="#br0" timeOffset="17467">24290 5828 24575,'-50'34'0,"1"-3"0,-13 7 0,-8 3 0,6-3 0,-7 2 0,-5 3 0,-5 3 0,-2 2-1229,11-5 0,-4 2 0,-2 2 0,-3 2 1,-3 2-1,-1 1 0,-1 1 0,-2 0 1093,11-5 1,-2 0-1,-1 1 1,-1 2-1,-2 0 1,-1 1 0,-1 1-1,-1 0 1,-1 0-1,0 1 1,-1 0-19,10-6 0,-1 1 0,-1 0 0,-1 0 0,0 1 0,-1 0 0,-1 1 0,0-1 1,-1 1-1,0 0 0,0 0 0,-1 0 0,0 0 0,0-1 154,7-3 0,-1 0 0,-1 0 0,0 0 0,0 0 0,-1 0 0,0 1 0,0-1 0,-1 0 0,0 0 0,0 0 0,0 0 0,0 0 0,0-1 0,0 1 0,0-1-55,-1 0 0,0-1 0,0 1 0,-1 0 0,1-1 0,-1 1 0,0-1 0,0 0 0,0 0 1,0 0-1,-1-1 0,1 0 0,0 0 0,0 0 0,0 0 0,0-1 55,-4 2 0,0 0 0,0 0 0,0 0 0,-1-1 0,1 0 0,-1 0 0,1 0 0,0-1 0,0 0 0,0 0 0,1-1 0,0 0 0,0-1 0,1 0-145,-1 0 0,0 0 0,1-1 0,-1 0 0,1-1 0,0 1 0,0-2 1,1 1-1,0-1 0,1 0 0,0-1 0,1 1 0,0-1 0,2 0 145,-14 5 0,1 1 0,0-1 0,0 0 0,2-1 0,0 0 0,2-1 0,1 0 0,1-1 0,2-1 0,2-1 131,-12 5 1,1-1 0,2-1 0,2-1-1,3-1 1,2-1 0,3-1 0,4-2-132,-17 8 0,4-1 0,5-3 0,7-2 0,8-3 510,-24 12 0,21-7 0,10 1 0,65-40 1</inkml:trace>
  <inkml:trace contextRef="#ctx0" brushRef="#br0" timeOffset="18701">17238 5924 18594,'-3'11'0,"-6"7"2733,-34 28-2733,-18-1 0,-18 5 0,14-12 0,-9 3 0,-7 1 0,-5 1-831,9-6 0,-4 1 1,-4 1-1,-4 0 1,-3 1-1,-4 0 831,15-8 0,-3 1 0,-2 0 0,-3 0 0,-2 0 0,-1 1 0,-1-1 0,-1 1 0,0 0-267,7-3 0,0 0 0,-2 0 1,-1 1-1,-1 0 0,0-1 1,-1 1-1,-1 0 0,1 0 1,-1 0-1,1 0 267,4-2 0,0 0 0,0 0 0,-1 1 0,0-1 0,-1 1 0,1-1 0,-1 0 0,1 1 0,0-1 0,0 1 0,0-1-211,1 0 1,0 0 0,0 0 0,0-1-1,-1 1 1,1 0 0,0 0 0,1 0-1,0 0 1,1 0 0,1 0 0,0 1 210,-9 4 0,0-1 0,1 1 0,1 0 0,1 0 0,0 0 0,0 0 0,2 1 0,-1 0 0,1 0 0,2 0 0,1 1 0,0-1 0,1 1 0,0 0 0,1 1 0,0-1 0,1 1 0,1-1 0,1 1-178,-3 2 1,0-1-1,1 1 1,1 1-1,1-1 1,1 0-1,1 0 1,2-1-1,1 1 178,-8 4 0,0 2 0,3-1 0,1-1 0,3 0 0,2-2 0,3-1 328,-6 4 1,1-1 0,4-2 0,6-2 0,8-5-329,-23 13 0,18-11 3387,11-12-3387,45-51 0,-14-52 0,10 36 0,-6-26 0</inkml:trace>
  <inkml:trace contextRef="#ctx0" brushRef="#br0" timeOffset="19734">9127 5851 24575,'-32'35'0,"-27"1"0,-22 3 0,7-7 0,-12 1 0,-6 1 0,-4 1-1422,18-7 0,-4 1 0,-2 0 1,-3 0-1,0 1 0,-2-1 1422,5-1 0,-2 0 0,-1 1 0,-1-1 0,-1 1 0,0-1 0,-1 0 0,6-2 0,-1-1 0,0 1 0,-1-1 0,-1 1 0,1-1 0,0 0 0,0 1 0,-9 3 0,0 0 0,1 0 0,-1-1 0,0 1 0,-1 0 0,0 0 0,7-3 0,0 0 0,-1 1 0,-1-1 0,1 0 0,-1 0 0,0 0 0,0 0 0,-1 0 0,0 0 0,-1 1 0,0-1 0,1 0 0,0 0 0,2 0 0,1 0 0,-4 1 0,2 0 0,0 0 0,2-1 0,0 1 0,2-1 0,1 0 88,-4 1 1,0 0-1,2 0 1,1-1 0,4 0-1,3-1-88,-14 6 0,4-2 0,6-1 0,5-2 548,4-1 1,7-1-1,6-4-548,-1-2 0,6-4 0,-24 2 0,28-8 0,-2-1 2184,-9 2 0,0-1-2184,1-1 0,3 0 496,-25 2 1,51-5 0,29-4 0</inkml:trace>
  <inkml:trace contextRef="#ctx0" brushRef="#br0" timeOffset="67161">16999 10155 24575,'40'7'0,"49"10"0,-29-6 0,10 2 0,7 1-1328,4 0 0,8 1 0,4 0 0,1 1 1328,-5-2 0,2 1 0,2-1 0,1 1 0,1-1 0,-11-3 0,1 1 0,1 0 0,0-1 0,-1 0 0,-1-1 0,9 1 0,-1-1 0,-1 0 0,-2 0 0,0-1-201,10 1 1,-1 0-1,-2 0 1,2-1 200,-1 2 0,1-1 0,-1 0 0,1 1 0,-2 1 0,0 0 0,-1 1 0,1 1 0,2 0 0,0 0 0,-1 1 0,0 0 0,-4 0 0,-1 0 0,-1 1 0,-2-2 216,12 3 0,-2-1 0,-4 0-216,-10-3 0,-3 0 0,-4-2 0,16 1 0,-9-2 0,-27-4 0,-6-1 2432,32 7-2432,4 7 1071,-38-9 0,0 2-1071,42 8 892,-31-7-892,-38-14 0,-20 0 0,-1-3 0</inkml:trace>
  <inkml:trace contextRef="#ctx0" brushRef="#br0" timeOffset="68815">19771 8548 24575,'59'8'0,"17"5"0,16 3 0,-5-2 0,9 1 0,5 1-1169,-25-4 0,3-1 0,3 1 1,2 1-1,1-1 1169,-3-1 0,1 1 0,3 0 0,0 0 0,1-1 0,0 0-374,4 0 0,1-1 0,0-1 0,1 1 0,0-1 0,1 0 374,3-1 0,1 1 0,0-1 0,0 0 0,0-1 0,-2 0 0,-5 0 0,1-1 0,-2-1 0,0 1 0,-2-1 0,-2-1 0,7 0 0,-2 0 0,-1-1 0,-3-1 0,-2 1 236,7 1 1,-4-1-1,-2 0 1,-2 0-237,13 1 0,-3 0 0,-3-1 0,-10 0 0,-3 0 0,-4 0 0,15 0 0,-6 0 0,-17-2 0,-6 1 2440,21 1-2440,-45-3-694,-8-7 0,-29 3 0,-1-4 0</inkml:trace>
  <inkml:trace contextRef="#ctx0" brushRef="#br0" timeOffset="70049">19607 8339 24575,'-96'0'0,"5"0"0,-17-1 0,23 0 0,-9 0 0,-6-1 0,-3 1-1266,19 0 0,-3 0 0,-2 0 0,-3 0 0,-1 0 0,-2 1 1266,1-1 0,-2 0 0,-3 1 0,-1 0 0,0-1 0,-1 1 0,1-1 0,11 1 0,-1-1 0,-1 1 0,0 0 0,1-1 0,0 1 0,1 0 0,1-1 0,-5 1 0,0 0 0,1 0 0,1-1 0,1 1 0,2 0 0,0 0 36,-4-1 0,0 1 1,1 0-1,2-1 1,3 1-1,4-1-36,-17 1 0,5-1 0,4 1 0,4-1 516,0 0 0,4 0 0,9 1-516,-3-1 0,12 1 0,6-1 0,49 0 3821,7 2-3821,1 1 0,0-1 0,1 1 0</inkml:trace>
  <inkml:trace contextRef="#ctx0" brushRef="#br0" timeOffset="70866">15986 10003 24575,'-53'1'0,"0"-1"0,-19 2 0,-11 1 0,-7 0 0,11 0 0,-6 1 0,-5-1 0,-3 1 0,-1 0-1262,-1 0 1,-2 0-1,-4 0 1,-1 0 0,0 1-1,1-1 1262,12 0 0,-1-1 0,0 1 0,-1 0 0,2-1 0,0 1 0,3-1 0,-7 1 0,1-1 0,1 0 0,2 0 0,3 0 0,4 0 372,-17 0 1,3-1-1,6 1 1,8-1-373,-26 1 0,18-1 1325,1 1-1325,67-1 0,19-1 0,2-1 0,0 0 0,1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4:27.84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1 350 24575,'0'10'0,"0"0"0,0-3 0,6-16 0,22-35 0,38-31 0,-18 29 0,4 2 0,4 1 0,0 5 0,-8 10 0,-3 6 0,11-1 0,-31 19 0,-16 12 0,-6 17 0,3 19 0,2 3 0,0-3 0,-1-17 0,-1-16 0,4-10 0,3-9 0,3-2 0,-1 1 0,0 7 0,2 9 0,4 5 0,5 6 0,3 3 0,-1-4 0,-7-3 0,-2-3 0,-14-8 0,1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5:07.0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2729 725 23322,'-9'-8'0,"-6"-7"617,-14-6-617,-27-7 0,-1 7 0,-12 0 0,-4 2 0,-8 0 0,-4 0-336,11 3 0,-2 1 0,-3 0 0,0 1 336,-2 1 0,-2 1 0,1 1 0,4 1 0,-13 0 0,5 2 0,7 3 238,2 3 0,9 3-238,-17 9 302,14 8-302,19 2 0,-6 5 0,-25 15 0,-5 6 0,20-8 0,-2 3 0,1 2-203,1 4 1,0 3-1,4 2 203,7 0 0,3 1 0,5 1 0,-10 20 0,11 3 582,12-2 0,8 2-582,8-2 0,5 1 0,6-3 0,7 1 0,6 4 0,9 1 0,15 11 0,11 0-293,-5-25 0,4 0 1,5-1 292,7 2 0,5 0 0,4-4 0,4-1 0,4-4 0,1-4 0,-3-8 0,2-5 0,2-4 0,4-1 0,3-5 0,3-3 0,7-2 0,3-3 0,3-4-291,-18-5 0,1-2 1,2-2-1,2-1 291,8 0 0,3-2 0,1-3 0,1-1 0,5-3 0,0-2 0,2-2 0,-1-2-490,0-3 1,1-1 0,0-2-1,0-2 490,-19 2 0,1-1 0,-1-1 0,-1-2 0,-2 0 0,11-5 0,0-3 0,-4 0 0,-4-1-53,8-6 1,-5-1 0,-7-1 52,7-12 0,-14-2 363,-30 6 0,-9-1-363,5-44 820,-20 27 1,-3-4-821,-2-12 0,-2-4 0,-6-15 0,-4-2 0,-2 27 0,-4-1 0,-1 1 579,-2-1 0,-1-1 0,-2 1-579,0-2 0,-2 0 0,0 1 0,0 2 0,-1 0 0,-1 2 0,-8-27 0,-3 4 99,-1 8 1,-5 5-100,-1 9 0,-4 5 0,1 9 0,-4 3 0,-5 4 0,-4 4 0,-5 3 0,-3 6 0,-3 2 0,-3 4 249,-5 3 1,-2 4-250,-7 5 0,-2 3 0,-7 4 0,-4 2-141,24 5 0,-1 0 0,-1 2 141,1 1 0,0 1 0,1 1 0,-27 3 0,2 0 0,8 2 0,4 1 0,12 0 0,4 1 0,10-1 0,5 1 0,-21 7 0,35 0 0,12 15 423,-8 21-423,-9 15 0,-1-2 0,12-24 0,18-23 0,10-15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4T05:15:11.4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1241 24575,'8'-27'0,"17"-36"0,-4 10 0,3-4 0,2-5 0,0 0 0,-3 8 0,-3 4 0,4-9 0,-18 43 0,1 41 0,11 62 0,-2-23 0,2 5 0,2 3 0,1-1 0,-3-14 0,2-10 0,16-16 0,6-64 0,-11-4 0,1-6 0,8-7 0,2-2 0,4-1 0,1 3 0,0 8 0,-1 5 0,32-8 0,-23 21 0,-25 21 0,-18 16 0,-2 19 0,2 13 0,0 1 0,-4-12 0,-5-18 0,-3-13 0,0-3 0,0 10 0,0-6 0,1 7 0</inkml:trace>
  <inkml:trace contextRef="#ctx0" brushRef="#br0" timeOffset="835">1212 1050 24575,'26'-9'0,"50"-10"0,-20 6 0,4-1 0,3 0 0,-1 0 0,-10 2 0,-7 0 0,0-6 0,-27-1 0,-7-10 0,-2-6 0,-4-1 0,-6 4 0,-6 9 0,-1 9 0,-1 7 0,-1 10 0,-25 20 0,-44 31 0,26-15 0,-2 2 0,-2 4 0,3 1 0,13-6 0,6-1 0,2 15 0,31-18 0,28-10 0,20-4 0,20-3 0,0-5 0,-26-8 0,-11-9 0,-14-20 0,32-27 0,-24 18 0,18-7 0</inkml:trace>
  <inkml:trace contextRef="#ctx0" brushRef="#br0" timeOffset="1273">2674 417 16856,'3'40'0,"-3"37"1702,-3-20 1,-1 2-1703,-2 2 0,-3-2 1326,-10 28-1326,3-45-1065,-33-46 0,-3-13 1,27 10-1,-66-24 0</inkml:trace>
  <inkml:trace contextRef="#ctx0" brushRef="#br0" timeOffset="1637">2127 768 24575,'37'1'0,"29"2"0,19 1 0,5-2 0,12 1 0,3-1-699,-17 0 0,4 0 0,0-1 0,-3 0 699,-5 0 0,-1 0 0,-3 0 0,-7-1 0,29-1 0,-21-1 887,-31-2-887,-44-1 460,-2-6-460,2-4 0,-3 4 0,1 1 0</inkml:trace>
  <inkml:trace contextRef="#ctx0" brushRef="#br0" timeOffset="2254">3905 680 22095,'-4'11'0,"-14"22"600,-5 8 0,-4 9-600,-8 16 0,-1 4 208,-3 4 1,4 0-209,6-11 0,8-4 213,16 9-213,38-35 650,28-19-650,14-22 0,5-47 0,-43 7 0,-5-8 0,-5-9 0,-6-3 0,-5-1 0,-4 1 0,-7 14 0,-4 5 0,-6-15 0,0 34 0,-2 20 0,2 11 0,-9-1 0,-9-5 0,7 2 0,-1-2 0</inkml:trace>
  <inkml:trace contextRef="#ctx0" brushRef="#br0" timeOffset="2890">5100 668 24575,'-11'8'0,"-37"14"0,4-1 0,-4 4 0,-11 11 0,-1 4 0,2 7 0,6 4 0,11 1 0,11 3 0,11 42 0,71-15 0,-6-39 0,15-33 0,8-17 0,-10-20 0,-3-13 0,12-14 0,-5-11 0,-22 9 0,-3-6 0,-7-3-218,-7-7 1,-7-3-1,-3-2 218,-2 0 0,-4-1 0,-2 1 0,-1 7 0,-1 1 0,-1 5 0,-1-8 0,0 9 0,-2 0 0,-9 43 0,-27 19 0,18 0 0,-14 0 0</inkml:trace>
  <inkml:trace contextRef="#ctx0" brushRef="#br0" timeOffset="3445">2233 190 24575,'-27'54'0,"-34"12"0,17-27 0,-5-2 0,-2-3 0,0-5 0,-25 7 0,37-21 0,28-11 0,10-4 0</inkml:trace>
  <inkml:trace contextRef="#ctx0" brushRef="#br0" timeOffset="4225">6469 847 24575,'-98'20'0,"26"-3"0,-8 3 0,12-2 0,-3 2 0,0 1 0,3 0 0,0 2 0,4-1 0,-10 8 0,10-1 0,-1 11 0,53-21 0,16-7 0,24-3 0,26-10 0,24-30 0,-35 1 0,-3-6 0,-6-6 0,-6-3 0,7-43 0,-26 26 0,-15 28 0,-6 15 0,-8 11 0,-6 4 0,10 3 0,-1-1 0</inkml:trace>
  <inkml:trace contextRef="#ctx0" brushRef="#br0" timeOffset="6327">13341 3976 8191,'60'41'0,"13"8"0,16 11 785,-23-17 1,7 4-1,2 2 1,2 0-786,-8-6 0,2 1 0,1 0 0,0 0 0,0-1 0,-2-1 0,2 1 0,-1-2 0,-2-1 0,-4-4 999,20 10 1,-5-5 0,-10-7-1000,-14-8 0,-8-6 484,5-6 1,-51-15-1,4-2 1</inkml:trace>
  <inkml:trace contextRef="#ctx0" brushRef="#br0" timeOffset="6978">14229 5195 8191,'79'35'0,"0"1"0,1-1 0,-2-5 0,5 0 0,3 0 0,3 0 629,-6-3 0,3 1 0,3-1 0,-1-1 0,-2-2-629,14 3 0,0-2 0,-3-2 0,-6-2 1000,2-2 0,-6-2 0,-13-5-1000,-14-4 0,-15-6 1937,-20-9-1937,-25-13 6032,0-25-6032,-3-38 1135,-2 24 0,-2-2-1135,-2-4 0,-1 0 0,-2 1 0,-1 3 0,0 9 0,0 4 0,-8-22 0,3 18 0,7 28 0,6 12 0,4 12 0</inkml:trace>
  <inkml:trace contextRef="#ctx0" brushRef="#br0" timeOffset="10050">14599 1114 24575,'-68'-33'0,"11"14"0,-11 1 0,-8-1 0,-9-2 0,-8 0 0,-7 0 0,-7 0-1405,24 6 1,-4 1 0,-4-1-1,-3 1 1,-3 0 0,-1 1-1,-1 1 1367,10 1 1,-3 0 0,-2 1 0,-1 1 0,-1-1 0,0 1 0,0 1-1,1-1 1,2 2 37,-8-1 0,1 0 0,-1 1 0,1 0 0,1 1 0,2 1 0,1 0 0,3 1 149,1 0 0,0 0 0,1 1 1,3 1-1,3 1 0,4 1 1,4 2-150,-17 1 0,6 1 0,7 5 0,10 9 442,-14 25 1,10 18-443,23-8 0,0 9 0,-2 8 0,-3 4 0,9-12 0,-3 5 0,-2 4 0,-2 3 0,0 2 0,-2 2 0,-1 1-406,9-12 0,-1 3 1,-2 1-1,0 1 1,-1 2-1,0 1 1,-1 1-1,1 0 1,-1 2-1,1-1 406,0 2 0,-1 1 0,0 1 0,-1 1 0,1 0 0,-1 2 0,1 0 0,0 0 0,2 0 0,0 0 0,1-1 1,2-1 0,0 1 1,1 0-1,0 1 1,0-1-1,2 1 1,0-1-1,2 0 1,1-1-1,1-2 1,2 0-2,-7 15 0,2-1 0,1 0 0,2-2 0,2 0 0,3-3 0,2 0 0,3-3-12,-1 8 1,3-1-1,2-2 1,4-2 0,5-4-1,6-3 12,3 12 0,5-5 0,9-4 0,11-5 0,21 12 0,17-8 0,15-6 0,-8-26 0,10-4 0,8-4 0,5-2 0,4-4-273,-8-7 1,4-2 0,5-3-1,2-2 1,4-2 0,1-1-1,2-3 273,-9-2 0,3-2 0,1-1 0,3-1 0,0-2 0,3-2 0,1-1 0,1-1 0,1-2 0,-14-2 0,2-1 0,1-2 0,2 0 0,0-2 0,1-1 0,1 0 0,1-2 0,0 0 0,0 0 0,0-1 0,0 1 0,-1-2 0,0 0 0,0 0 0,1-2 0,1 0 0,0 0 0,0-1 0,0-1 0,0 1 0,0-1 0,0 0 0,0-1 0,-1 1-29,1-1 1,0 0-1,1 0 1,0-1-1,-1 0 1,1 0 0,0 0-1,-2-1 1,1 0-1,-2 0 1,0 1-1,-1-1 1,-2 0 28,7-1 0,-1 0 0,1-1 0,-1 1 0,-2-1 0,0 1 0,-2-1 0,-2 1 0,-2-1 0,-3 1 0,-2 0 6,17-3 0,-2 1 1,-2 0-1,-5 0 1,-4-1-1,-5-1 1,-7-2-7,14-5 0,-6 0 0,-13-6 0,-21-11 0,-23-18 0,-22-11 0,-13-8 0,-10 4 0,-11-8 0,-10-4 0,-5-4 0,-2-2-45,9 18 0,-4-3 0,-2-2 0,-3-2 0,-2-2 0,-2 0 0,-3-1 0,-1 0 45,5 11 0,-1-1 0,-2-1 0,-2 0 0,-2-2 0,-1 1 0,-1-1 0,-1 0 0,-2 1 0,0 1 0,-2 1 0,1 2 0,-1-1 0,-2 1 0,-2 0 0,0 0 0,-2 0 0,0 2 0,0-1 0,-2 2 0,1 2 0,-1 0 0,1 2 0,-4-1 0,0 1 0,-1 0 0,-1 2 0,0 0 0,0 2 0,-1 1 0,0 2 0,1 1 0,0 2 0,0 1 109,-9-5 0,0 2 0,-1 2 1,1 1-1,-1 2 0,2 2 1,1 3-1,2 2 0,2 3-109,-15-7 0,1 5 0,2 2 0,3 4 0,4 3 0,5 3 171,-2 1 1,4 4-1,6 3 1,6 4-172,-16-4 0,19 8 893,28 14 0,32 8 0,5 1 0</inkml:trace>
  <inkml:trace contextRef="#ctx0" brushRef="#br0" timeOffset="10535">16734 2028 24575,'-88'19'0,"13"-6"0,-14 2 0,-7 1 0,22-4 0,-3 1 0,-4 1 0,-2 0 0,0 0-929,-11 3 0,-2 1 0,-2 1 0,0 0 0,4 0 929,6-2 0,0 1 0,2 0 0,3 0 0,7-1 0,-14 4 0,8-1 0,9-1 709,6-1 0,14-2-709,20-4 0,32-10 0,2 2 0</inkml:trace>
  <inkml:trace contextRef="#ctx0" brushRef="#br0" timeOffset="11169">15212 1740 8191,'-39'56'0,"1"0"0,-2-1 0,-3 6 0,-2 0 1406,-3 4 1,-3 1 0,-1 1-1407,-7 6 0,-2 1 0,1-4 0,7-12 0,1-3 0,1-3 1457,-13 9 0,5-9-1457,-3 1 1821,14-3-1821,40-28 6464,8 15-6464,29-6 0,20 0 0,13 0 0,-1-7 0,7-1 0,4 1-93,-3 0 1,4 1 0,2 1 0,-1-1 92,-1 0 0,1-1 0,-2-1 0,-4-1 0,30 11 0,-12-6 0,-21-6 0,-27-12 0,-38-11 0,1-3 0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FCFD-96A6-1744-8D5F-110B925A4AEC}">
  <dimension ref="A1:E18"/>
  <sheetViews>
    <sheetView zoomScale="135" zoomScaleNormal="180" workbookViewId="0">
      <selection activeCell="D22" sqref="D22"/>
    </sheetView>
  </sheetViews>
  <sheetFormatPr baseColWidth="10" defaultRowHeight="16" x14ac:dyDescent="0.2"/>
  <cols>
    <col min="1" max="1" width="23.83203125" bestFit="1" customWidth="1"/>
    <col min="2" max="2" width="14.83203125" customWidth="1"/>
    <col min="3" max="3" width="12.33203125" customWidth="1"/>
    <col min="4" max="4" width="13" customWidth="1"/>
    <col min="5" max="5" width="12.5" customWidth="1"/>
  </cols>
  <sheetData>
    <row r="1" spans="1:5" ht="16" customHeight="1" x14ac:dyDescent="0.2">
      <c r="A1" s="9" t="s">
        <v>0</v>
      </c>
      <c r="B1" s="9" t="s">
        <v>1</v>
      </c>
    </row>
    <row r="2" spans="1:5" ht="17" customHeight="1" x14ac:dyDescent="0.2">
      <c r="A2" s="10" t="s">
        <v>7</v>
      </c>
      <c r="B2" s="11">
        <v>104</v>
      </c>
    </row>
    <row r="3" spans="1:5" ht="17" customHeight="1" x14ac:dyDescent="0.2">
      <c r="A3" s="10" t="s">
        <v>8</v>
      </c>
      <c r="B3" s="11">
        <v>42</v>
      </c>
    </row>
    <row r="4" spans="1:5" ht="17" customHeight="1" x14ac:dyDescent="0.2">
      <c r="A4" s="10" t="s">
        <v>9</v>
      </c>
      <c r="B4" s="11">
        <v>20</v>
      </c>
    </row>
    <row r="5" spans="1:5" ht="17" customHeight="1" x14ac:dyDescent="0.2">
      <c r="A5" s="10" t="s">
        <v>10</v>
      </c>
      <c r="B5" s="11">
        <v>10</v>
      </c>
    </row>
    <row r="6" spans="1:5" ht="17" customHeight="1" x14ac:dyDescent="0.2">
      <c r="A6" s="10" t="s">
        <v>11</v>
      </c>
      <c r="B6" s="11">
        <v>6</v>
      </c>
    </row>
    <row r="7" spans="1:5" ht="17" customHeight="1" x14ac:dyDescent="0.2">
      <c r="A7" s="10" t="s">
        <v>12</v>
      </c>
      <c r="B7" s="11">
        <v>4</v>
      </c>
    </row>
    <row r="8" spans="1:5" ht="17" customHeight="1" x14ac:dyDescent="0.2">
      <c r="A8" s="10" t="s">
        <v>13</v>
      </c>
      <c r="B8" s="11">
        <v>14</v>
      </c>
    </row>
    <row r="10" spans="1:5" ht="38" customHeight="1" x14ac:dyDescent="0.2">
      <c r="A10" s="8" t="s">
        <v>2</v>
      </c>
      <c r="B10" s="8" t="s">
        <v>1</v>
      </c>
      <c r="C10" s="8" t="s">
        <v>3</v>
      </c>
      <c r="D10" s="8" t="s">
        <v>4</v>
      </c>
      <c r="E10" s="8" t="s">
        <v>5</v>
      </c>
    </row>
    <row r="11" spans="1:5" ht="17" x14ac:dyDescent="0.2">
      <c r="A11" s="2" t="str">
        <f>A2</f>
        <v>Tensión</v>
      </c>
      <c r="B11" s="3">
        <f>B2</f>
        <v>104</v>
      </c>
      <c r="C11" s="4">
        <f>B11</f>
        <v>104</v>
      </c>
      <c r="D11" s="6">
        <f>B11/$B$18</f>
        <v>0.52</v>
      </c>
      <c r="E11" s="6">
        <f>D11</f>
        <v>0.52</v>
      </c>
    </row>
    <row r="12" spans="1:5" ht="17" x14ac:dyDescent="0.2">
      <c r="A12" s="2" t="str">
        <f t="shared" ref="A12:A17" si="0">A3</f>
        <v>Rayado</v>
      </c>
      <c r="B12" s="3">
        <f t="shared" ref="B12:B16" si="1">B3</f>
        <v>42</v>
      </c>
      <c r="C12" s="4">
        <f>C11+B12</f>
        <v>146</v>
      </c>
      <c r="D12" s="6">
        <f t="shared" ref="D12:D17" si="2">B12/$B$18</f>
        <v>0.21</v>
      </c>
      <c r="E12" s="6">
        <f>E11+D12</f>
        <v>0.73</v>
      </c>
    </row>
    <row r="13" spans="1:5" ht="17" x14ac:dyDescent="0.2">
      <c r="A13" s="2" t="str">
        <f t="shared" si="0"/>
        <v>Burbujas</v>
      </c>
      <c r="B13" s="3">
        <f t="shared" si="1"/>
        <v>20</v>
      </c>
      <c r="C13" s="4">
        <f t="shared" ref="C13:C17" si="3">C12+B13</f>
        <v>166</v>
      </c>
      <c r="D13" s="6">
        <f t="shared" si="2"/>
        <v>0.1</v>
      </c>
      <c r="E13" s="6">
        <f t="shared" ref="E13:E17" si="4">E12+D13</f>
        <v>0.83</v>
      </c>
    </row>
    <row r="14" spans="1:5" ht="17" x14ac:dyDescent="0.2">
      <c r="A14" s="2" t="str">
        <f t="shared" si="0"/>
        <v>Fracturas</v>
      </c>
      <c r="B14" s="3">
        <f t="shared" si="1"/>
        <v>10</v>
      </c>
      <c r="C14" s="4">
        <f t="shared" si="3"/>
        <v>176</v>
      </c>
      <c r="D14" s="6">
        <f t="shared" si="2"/>
        <v>0.05</v>
      </c>
      <c r="E14" s="6">
        <f t="shared" si="4"/>
        <v>0.88</v>
      </c>
    </row>
    <row r="15" spans="1:5" ht="17" x14ac:dyDescent="0.2">
      <c r="A15" s="2" t="str">
        <f t="shared" si="0"/>
        <v>Manchas</v>
      </c>
      <c r="B15" s="3">
        <f t="shared" si="1"/>
        <v>6</v>
      </c>
      <c r="C15" s="4">
        <f t="shared" si="3"/>
        <v>182</v>
      </c>
      <c r="D15" s="6">
        <f t="shared" si="2"/>
        <v>0.03</v>
      </c>
      <c r="E15" s="6">
        <f t="shared" si="4"/>
        <v>0.91</v>
      </c>
    </row>
    <row r="16" spans="1:5" ht="17" x14ac:dyDescent="0.2">
      <c r="A16" s="2" t="str">
        <f t="shared" si="0"/>
        <v>Rajaduras</v>
      </c>
      <c r="B16" s="3">
        <f t="shared" si="1"/>
        <v>4</v>
      </c>
      <c r="C16" s="4">
        <f t="shared" si="3"/>
        <v>186</v>
      </c>
      <c r="D16" s="6">
        <f t="shared" si="2"/>
        <v>0.02</v>
      </c>
      <c r="E16" s="6">
        <f t="shared" si="4"/>
        <v>0.93</v>
      </c>
    </row>
    <row r="17" spans="1:5" ht="17" x14ac:dyDescent="0.2">
      <c r="A17" s="2" t="str">
        <f t="shared" si="0"/>
        <v>Otros</v>
      </c>
      <c r="B17" s="3">
        <f>B8</f>
        <v>14</v>
      </c>
      <c r="C17" s="4">
        <f t="shared" si="3"/>
        <v>200</v>
      </c>
      <c r="D17" s="6">
        <f t="shared" si="2"/>
        <v>7.0000000000000007E-2</v>
      </c>
      <c r="E17" s="6">
        <f t="shared" si="4"/>
        <v>1</v>
      </c>
    </row>
    <row r="18" spans="1:5" x14ac:dyDescent="0.2">
      <c r="A18" s="1" t="s">
        <v>6</v>
      </c>
      <c r="B18" s="5">
        <f>SUM(B11:B17)</f>
        <v>200</v>
      </c>
      <c r="C18" s="5"/>
      <c r="D18" s="7">
        <f>SUM(D11:D17)</f>
        <v>1</v>
      </c>
      <c r="E18" s="5"/>
    </row>
  </sheetData>
  <sortState xmlns:xlrd2="http://schemas.microsoft.com/office/spreadsheetml/2017/richdata2" ref="A2:B7">
    <sortCondition descending="1" ref="B2:B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5020-F7E2-FC45-A298-6CC0E7244FBC}">
  <dimension ref="A1"/>
  <sheetViews>
    <sheetView tabSelected="1" zoomScale="89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FELIPE DE JESUS ARAUX LOPEZ</cp:lastModifiedBy>
  <dcterms:created xsi:type="dcterms:W3CDTF">2022-05-16T23:16:59Z</dcterms:created>
  <dcterms:modified xsi:type="dcterms:W3CDTF">2024-09-14T05:15:42Z</dcterms:modified>
</cp:coreProperties>
</file>